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How to use" sheetId="3" state="visible" r:id="rId5"/>
  </sheets>
  <definedNames>
    <definedName function="false" hidden="false" localSheetId="0" name="_xlnm.Print_Titles" vbProcedure="false">'Test cases'!$1:$1</definedName>
    <definedName function="false" hidden="true" localSheetId="0" name="_xlnm._FilterDatabase" vbProcedure="false">'Test cases'!$A$1:$L$75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<sst xmlns="http://schemas.openxmlformats.org/spreadsheetml/2006/main" count="864" uniqueCount="453">
  <si>
    <t xml:space="preserve">ID</t>
  </si>
  <si>
    <t xml:space="preserve">Area</t>
  </si>
  <si>
    <t xml:space="preserve">IR objective</t>
  </si>
  <si>
    <t xml:space="preserve">Test case</t>
  </si>
  <si>
    <t xml:space="preserve">Steps</t>
  </si>
  <si>
    <t xml:space="preserve">Expected result</t>
  </si>
  <si>
    <t xml:space="preserve">How tested</t>
  </si>
  <si>
    <t xml:space="preserve">Evidence</t>
  </si>
  <si>
    <t xml:space="preserve">Actual result</t>
  </si>
  <si>
    <t xml:space="preserve">Status</t>
  </si>
  <si>
    <t xml:space="preserve">Date tested</t>
  </si>
  <si>
    <t xml:space="preserve">Notes</t>
  </si>
  <si>
    <t xml:space="preserve">TC-01</t>
  </si>
  <si>
    <t xml:space="preserve">Academic skills</t>
  </si>
  <si>
    <t xml:space="preserve">1</t>
  </si>
  <si>
    <t xml:space="preserve">Grades turn modules into skills</t>
  </si>
  <si>
    <t xml:space="preserve">Student opens My Profile &gt; Modules, sets A for Python Programming, saves</t>
  </si>
  <si>
    <t xml:space="preserve">The module turns into its skills: the skill count goes from 0 to 3 (Python, Programming, Debugging) and the grade is saved</t>
  </si>
  <si>
    <t xml:space="preserve">Playwright E2E</t>
  </si>
  <si>
    <t xml:space="preserve">Playwright 22 Oct (13 passed, docs/evidence/e2e/run_2026-10-22.txt): 1-student.spec.js; screenshot docs/evidence/e2e/TC-01_grade_to_skills.png</t>
  </si>
  <si>
    <t xml:space="preserve">Python Programming at A, saved: "3 skills found in your modules" (Python, Programming, Debugging)</t>
  </si>
  <si>
    <t xml:space="preserve">Pass</t>
  </si>
  <si>
    <t xml:space="preserve">22 Oct 2026</t>
  </si>
  <si>
    <t xml:space="preserve">TC-02</t>
  </si>
  <si>
    <t xml:space="preserve">Only pass grades are accepted</t>
  </si>
  <si>
    <t xml:space="preserve">Send a grade below C (e.g. D) for a module</t>
  </si>
  <si>
    <t xml:space="preserve">Refused with 'Grade must be one of A, A-, B+, B, B-, C+ or C'</t>
  </si>
  <si>
    <t xml:space="preserve">Automated</t>
  </si>
  <si>
    <t xml:space="preserve">pytest 21 Oct (137 passed): test_grades.py::test_only_pass_grades_are_accepted</t>
  </si>
  <si>
    <t xml:space="preserve">As expected</t>
  </si>
  <si>
    <t xml:space="preserve">21 Oct 2026</t>
  </si>
  <si>
    <t xml:space="preserve">TC-03</t>
  </si>
  <si>
    <t xml:space="preserve">Changing programme asks before removing grades</t>
  </si>
  <si>
    <t xml:space="preserve">Student with grades changes programme</t>
  </si>
  <si>
    <t xml:space="preserve">Asked to confirm; grades removed only after confirming</t>
  </si>
  <si>
    <t xml:space="preserve">pytest 21 Oct (137 passed): test_grades.py::test_changing_programme_removes_grades_only_after_confirming</t>
  </si>
  <si>
    <t xml:space="preserve">TC-04</t>
  </si>
  <si>
    <t xml:space="preserve">Career office reviews module skills</t>
  </si>
  <si>
    <t xml:space="preserve">Admin opens a module, removes a skill, adds one, marks reviewed</t>
  </si>
  <si>
    <t xml:space="preserve">Changes saved and recorded; students get the reviewed skills</t>
  </si>
  <si>
    <t xml:space="preserve">pytest 21 Oct (137 passed): test_extraction_records.py::test_module_extraction_and_career_office_changes</t>
  </si>
  <si>
    <t xml:space="preserve">TC-05</t>
  </si>
  <si>
    <t xml:space="preserve">Module skill extraction quality</t>
  </si>
  <si>
    <t xml:space="preserve">Evaluation step 3 + prompt v2 on 30 new modules (3 labellers, rules set beforehand)</t>
  </si>
  <si>
    <t xml:space="preserve">F1 passes the pre-set bar</t>
  </si>
  <si>
    <t xml:space="preserve">Evaluation</t>
  </si>
  <si>
    <t xml:space="preserve">F1 0.746 (v1 0.581); docs/evidence/module_prompt_v2</t>
  </si>
  <si>
    <t xml:space="preserve">TC-06</t>
  </si>
  <si>
    <t xml:space="preserve">Job ad skill extraction quality</t>
  </si>
  <si>
    <t xml:space="preserve">Evaluation step 2: LLM extractor vs spaCy baseline on 30 ads</t>
  </si>
  <si>
    <t xml:space="preserve">LLM clearly better than the IR's spaCy approach</t>
  </si>
  <si>
    <t xml:space="preserve">F1 0.695 vs 0.250 (+0.445, CI +0.369 to +0.521); docs/evidence/job_skill_extraction</t>
  </si>
  <si>
    <t xml:space="preserve">TC-07</t>
  </si>
  <si>
    <t xml:space="preserve">Profile evidence</t>
  </si>
  <si>
    <t xml:space="preserve">Experience skills only from her own words</t>
  </si>
  <si>
    <t xml:space="preserve">Student adds an internship; AI suggests skills</t>
  </si>
  <si>
    <t xml:space="preserve">Only skills quoted from her description are kept</t>
  </si>
  <si>
    <t xml:space="preserve">pytest 21 Oct (137 passed): test_more_evidence.py::test_suggest_keeps_only_skills_in_her_words</t>
  </si>
  <si>
    <t xml:space="preserve">TC-08</t>
  </si>
  <si>
    <t xml:space="preserve">Experience reaches every part of SkillMap</t>
  </si>
  <si>
    <t xml:space="preserve">Add work + club experience, apply for a job</t>
  </si>
  <si>
    <t xml:space="preserve">Skills in the profile, employer view, chatbot CV points, Download my data, and removed on delete</t>
  </si>
  <si>
    <t xml:space="preserve">pytest 21 Oct (137 passed): test_more_evidence.py::test_experience_reaches_profile_employer_chatbot_export_and_delete</t>
  </si>
  <si>
    <t xml:space="preserve">TC-09</t>
  </si>
  <si>
    <t xml:space="preserve">GitHub connect and import</t>
  </si>
  <si>
    <t xml:space="preserve">Student connects GitHub, imports a repository, disconnects</t>
  </si>
  <si>
    <t xml:space="preserve">Repositories listed; import needs a connected account; typed links ignored</t>
  </si>
  <si>
    <t xml:space="preserve">pytest 21 Oct (137 passed): test_github_connect.py::test_connect_check_repos_and_disconnect, test_import_needs_a_connected_account_and_typed_link_is_ignored</t>
  </si>
  <si>
    <t xml:space="preserve">TC-10</t>
  </si>
  <si>
    <t xml:space="preserve">Profile checklist</t>
  </si>
  <si>
    <t xml:space="preserve">Student with modules and a project opens My Profile</t>
  </si>
  <si>
    <t xml:space="preserve">'Your profile · 2 of 5 done'; the checklist links to the missing items; hidden when all 5 are done</t>
  </si>
  <si>
    <t xml:space="preserve">Playwright 22 Oct (13 passed, docs/evidence/e2e/run_2026-10-22.txt): 1-student.spec.js; screenshot docs/evidence/e2e/TC-10_profile_checklist.png</t>
  </si>
  <si>
    <t xml:space="preserve">"Your profile · 1 of 5 done"; the checklist ticks Modules and offers Projects, Experience, Certificates, About you</t>
  </si>
  <si>
    <t xml:space="preserve">TC-11</t>
  </si>
  <si>
    <t xml:space="preserve">Job recommendation</t>
  </si>
  <si>
    <t xml:space="preserve">2</t>
  </si>
  <si>
    <t xml:space="preserve">Job Matches lists jobs for her skills</t>
  </si>
  <si>
    <t xml:space="preserve">Student with grades opens Job Matches</t>
  </si>
  <si>
    <t xml:space="preserve">Jobs ordered by match, each with matched/required counts</t>
  </si>
  <si>
    <t xml:space="preserve">Playwright 22 Oct (13 passed, docs/evidence/e2e/run_2026-10-22.txt): 1-student.spec.js; screenshot docs/evidence/e2e/TC-11_job_matches.png</t>
  </si>
  <si>
    <t xml:space="preserve">Job Matches lists the 3 open jobs with "1/3 required" or "0/3 required"</t>
  </si>
  <si>
    <t xml:space="preserve">TC-12</t>
  </si>
  <si>
    <t xml:space="preserve">Ranking better than a keyword baseline</t>
  </si>
  <si>
    <t xml:space="preserve">Evaluation step 4: 10 programme profiles, 3 judges, nDCG@10</t>
  </si>
  <si>
    <t xml:space="preserve">SkillMap beats keyword matching (pre-set rule)</t>
  </si>
  <si>
    <t xml:space="preserve">nDCG@10 0.796 vs 0.526 (CI +0.213 to +0.323); her spot-check 26/27; docs/evidence/ranking</t>
  </si>
  <si>
    <t xml:space="preserve">TC-13</t>
  </si>
  <si>
    <t xml:space="preserve">Response time</t>
  </si>
  <si>
    <t xml:space="preserve">Evaluation E5: real server, cold and warm requests</t>
  </si>
  <si>
    <t xml:space="preserve">Warm p95 under 1 s; cold under 10 s</t>
  </si>
  <si>
    <t xml:space="preserve">Job Matches warm p95 0.475 s, cold 3.8-4.0 s; docs/evidence/performance</t>
  </si>
  <si>
    <t xml:space="preserve">TC-14</t>
  </si>
  <si>
    <t xml:space="preserve">Career goal: best-fitting careers first</t>
  </si>
  <si>
    <t xml:space="preserve">Student sets a goal and opens the career picker</t>
  </si>
  <si>
    <t xml:space="preserve">Careers ordered by how many of their top skills she has</t>
  </si>
  <si>
    <t xml:space="preserve">pytest 21 Oct (137 passed): test_career_fit.py::test_careers_best_fit_first_with_a_goal_set</t>
  </si>
  <si>
    <t xml:space="preserve">TC-15</t>
  </si>
  <si>
    <t xml:space="preserve">Faster matching gives identical answers</t>
  </si>
  <si>
    <t xml:space="preserve">Run old and new matching on the same data</t>
  </si>
  <si>
    <t xml:space="preserve">Same results</t>
  </si>
  <si>
    <t xml:space="preserve">pytest 21 Oct (137 passed): test_match_speed.py::test_same_answers_as_before</t>
  </si>
  <si>
    <t xml:space="preserve">TC-16</t>
  </si>
  <si>
    <t xml:space="preserve">Skill gap</t>
  </si>
  <si>
    <t xml:space="preserve">3</t>
  </si>
  <si>
    <t xml:space="preserve">Job Detail explains match and gap</t>
  </si>
  <si>
    <t xml:space="preserve">Student opens a job she partly fits</t>
  </si>
  <si>
    <t xml:space="preserve">Matched skills with where each came from; missing required skills; 'Learn' links</t>
  </si>
  <si>
    <t xml:space="preserve">Playwright 22 Oct (13 passed, docs/evidence/e2e/run_2026-10-22.txt): 1-student.spec.js; screenshot docs/evidence/e2e/TC-16_job_detail_gap.png</t>
  </si>
  <si>
    <t xml:space="preserve">33%, you have 1 of 3; Skill Gap Analysis: Python matched (her module), SQL and Git missing, each with Learn</t>
  </si>
  <si>
    <t xml:space="preserve">TC-17</t>
  </si>
  <si>
    <t xml:space="preserve">What-if: missing skills and the jobs they open</t>
  </si>
  <si>
    <t xml:space="preserve">Dashboard 'Still to learn' with a goal set</t>
  </si>
  <si>
    <t xml:space="preserve">Each missing skill shows how many more jobs she would fit</t>
  </si>
  <si>
    <t xml:space="preserve">pytest 21 Oct (137 passed): test_whatif.py::test_each_missing_skill_shows_the_jobs_it_would_open</t>
  </si>
  <si>
    <t xml:space="preserve">TC-18</t>
  </si>
  <si>
    <t xml:space="preserve">What the ad asks for besides skills</t>
  </si>
  <si>
    <t xml:space="preserve">Open a live job whose ad names a degree and languages</t>
  </si>
  <si>
    <t xml:space="preserve">Pills for qualification, field, languages; no citizenship</t>
  </si>
  <si>
    <t xml:space="preserve">pytest 21 Oct (137 passed): test_ad_requirements.py::test_live_job_requirements_read_by_the_rules_without_citizenship</t>
  </si>
  <si>
    <t xml:space="preserve">TC-19</t>
  </si>
  <si>
    <t xml:space="preserve">Skills gained in the role are not counted</t>
  </si>
  <si>
    <t xml:space="preserve">Job with skills taught on the job</t>
  </si>
  <si>
    <t xml:space="preserve">Listed separately, not in the match</t>
  </si>
  <si>
    <t xml:space="preserve">pytest 21 Oct (137 passed): test_ad_requirements.py::test_skills_gained_in_the_role_are_listed_not_counted</t>
  </si>
  <si>
    <t xml:space="preserve">TC-20</t>
  </si>
  <si>
    <t xml:space="preserve">No invented job descriptions</t>
  </si>
  <si>
    <t xml:space="preserve">AI formats a live ad; employer post shown</t>
  </si>
  <si>
    <t xml:space="preserve">Employer posts shown as written; invented answers dropped</t>
  </si>
  <si>
    <t xml:space="preserve">pytest 21 Oct (137 passed): test_description_grounding.py (3 tests)</t>
  </si>
  <si>
    <t xml:space="preserve">TC-21</t>
  </si>
  <si>
    <t xml:space="preserve">Preview shows exactly what the employer sees</t>
  </si>
  <si>
    <t xml:space="preserve">Student opens 'Check what they'll see' for a job</t>
  </si>
  <si>
    <t xml:space="preserve">Same profile and match as the employer's applicant page</t>
  </si>
  <si>
    <t xml:space="preserve">pytest 21 Oct (137 passed): test_employer_preview.py::test_preview_for_a_job_matches_the_employer_view</t>
  </si>
  <si>
    <t xml:space="preserve">TC-22</t>
  </si>
  <si>
    <t xml:space="preserve">AI assistant</t>
  </si>
  <si>
    <t xml:space="preserve">4</t>
  </si>
  <si>
    <t xml:space="preserve">Learning plan with checked links</t>
  </si>
  <si>
    <t xml:space="preserve">Student asks for a plan for a missing skill</t>
  </si>
  <si>
    <t xml:space="preserve">Plan with only checked links and a final 'add it to SkillMap' step</t>
  </si>
  <si>
    <t xml:space="preserve">pytest 21 Oct (137 passed): test_learning_plan.py::test_plan_gets_the_my_profile_step_and_only_checked_links</t>
  </si>
  <si>
    <t xml:space="preserve">TC-23</t>
  </si>
  <si>
    <t xml:space="preserve">Learning plan as PDF</t>
  </si>
  <si>
    <t xml:space="preserve">Download the plan</t>
  </si>
  <si>
    <t xml:space="preserve">A PDF that prints on several pages</t>
  </si>
  <si>
    <t xml:space="preserve">pytest 21 Oct (137 passed): test_learning_plan.py::test_download_plan_as_pdf, test_a_long_plan_prints_on_several_pages</t>
  </si>
  <si>
    <t xml:space="preserve">TC-24</t>
  </si>
  <si>
    <t xml:space="preserve">CV points from her own profile only</t>
  </si>
  <si>
    <t xml:space="preserve">Ask for CV points</t>
  </si>
  <si>
    <t xml:space="preserve">Points use only her projects and modules</t>
  </si>
  <si>
    <t xml:space="preserve">pytest 21 Oct (137 passed): test_counsellor_cv.py::test_cv_points_use_only_her_own_profile</t>
  </si>
  <si>
    <t xml:space="preserve">TC-25</t>
  </si>
  <si>
    <t xml:space="preserve">Interview preparation for a shortlisted job</t>
  </si>
  <si>
    <t xml:space="preserve">Shortlisted student clicks 'Prepare for the interview'</t>
  </si>
  <si>
    <t xml:space="preserve">The assistant gets the job ad and her match</t>
  </si>
  <si>
    <t xml:space="preserve">pytest 21 Oct (137 passed): test_employer_preview.py::test_interview_preparation_gets_the_job_ad</t>
  </si>
  <si>
    <t xml:space="preserve">TC-26</t>
  </si>
  <si>
    <t xml:space="preserve">Chat answers and is kept</t>
  </si>
  <si>
    <t xml:space="preserve">Ask a question, leave, come back</t>
  </si>
  <si>
    <t xml:space="preserve">Answer shown; the chat is listed and reopens</t>
  </si>
  <si>
    <t xml:space="preserve">Manual</t>
  </si>
  <si>
    <t xml:space="preserve">docs/evidence/manual/TC-26_1 to TC-26_4 (plan answered and listed, listed after signing in again, reopened, follow-up in the same chat)</t>
  </si>
  <si>
    <t xml:space="preserve">Skill Development: "How do I start learning SQL joins?", 5 hours a week -&gt; learning plan (resources, 5-step table, portfolio project, Download plan). The chat was listed under Today; after leaving and signing in again it was still listed and reopened with the full plan; "And outer joins?" continued the same chat (one entry in the list). Real Groq + MongoDB. Note: the reply took noticeably long (being measured).</t>
  </si>
  <si>
    <t xml:space="preserve">24 Oct 2026</t>
  </si>
  <si>
    <t xml:space="preserve">TC-27</t>
  </si>
  <si>
    <t xml:space="preserve">Chats expire after 18 months unused</t>
  </si>
  <si>
    <t xml:space="preserve">Chat not used for 18 months</t>
  </si>
  <si>
    <t xml:space="preserve">Removed</t>
  </si>
  <si>
    <t xml:space="preserve">pytest 21 Oct (137 passed): test_audit_fixes.py::test_chats_expire_after_18_months_without_use</t>
  </si>
  <si>
    <t xml:space="preserve">TC-28</t>
  </si>
  <si>
    <t xml:space="preserve">Applications</t>
  </si>
  <si>
    <t xml:space="preserve">Apply once; progress starts at Applied</t>
  </si>
  <si>
    <t xml:space="preserve">Student applies on SkillMap</t>
  </si>
  <si>
    <t xml:space="preserve">One application; My Applications shows Applied with the date</t>
  </si>
  <si>
    <t xml:space="preserve">Automated + Playwright E2E</t>
  </si>
  <si>
    <t xml:space="preserve">pytest 21 Oct (137 passed): test_applications.py::test_apply_once_with_progress; Playwright 22 Oct (13 passed, docs/evidence/e2e/run_2026-10-22.txt): 1-student.spec.js; screenshot docs/evidence/e2e/TC-28_applied.png</t>
  </si>
  <si>
    <t xml:space="preserve">TC-29</t>
  </si>
  <si>
    <t xml:space="preserve">Two clicks at once give one application</t>
  </si>
  <si>
    <t xml:space="preserve">Apply twice at the same moment</t>
  </si>
  <si>
    <t xml:space="preserve">One application, no server error</t>
  </si>
  <si>
    <t xml:space="preserve">pytest 21 Oct (137 passed): test_applications.py::test_simultaneous_applies_give_one_application_no_server_error</t>
  </si>
  <si>
    <t xml:space="preserve">TC-30</t>
  </si>
  <si>
    <t xml:space="preserve">Closed, gone or outside jobs can't be applied for here</t>
  </si>
  <si>
    <t xml:space="preserve">Apply to a closed job or a live ad</t>
  </si>
  <si>
    <t xml:space="preserve">Refused with a clear message</t>
  </si>
  <si>
    <t xml:space="preserve">pytest 21 Oct (137 passed): test_applications.py::test_cannot_apply_to_closed_or_gone_or_live_jobs</t>
  </si>
  <si>
    <t xml:space="preserve">TC-31</t>
  </si>
  <si>
    <t xml:space="preserve">Employer sees the application as sent</t>
  </si>
  <si>
    <t xml:space="preserve">Student applies, then changes her profile</t>
  </si>
  <si>
    <t xml:space="preserve">Employer sees the sent copy first, with 'See latest'</t>
  </si>
  <si>
    <t xml:space="preserve">pytest 21 Oct (137 passed): test_employer_preview.py::test_employer_sees_what_was_sent_then_the_latest; Playwright 22 Oct (13 passed, docs/evidence/e2e/run_2026-10-22.txt): 2-employer.spec.js; screenshot docs/evidence/e2e/TC-31_applicants.png</t>
  </si>
  <si>
    <t xml:space="preserve">TC-32</t>
  </si>
  <si>
    <t xml:space="preserve">Applications made before copies were kept</t>
  </si>
  <si>
    <t xml:space="preserve">Open an old application with no saved copy</t>
  </si>
  <si>
    <t xml:space="preserve">Employer sees the latest profile, no version bar; student sees no change note</t>
  </si>
  <si>
    <t xml:space="preserve">pytest 22 Oct (140 passed): test_edit_job.py::test_an_application_from_before_copies_were_kept_still_shows</t>
  </si>
  <si>
    <t xml:space="preserve">TC-33</t>
  </si>
  <si>
    <t xml:space="preserve">Applications on other sites</t>
  </si>
  <si>
    <t xml:space="preserve">Record, update and undo an outside application</t>
  </si>
  <si>
    <t xml:space="preserve">Saved, updated, undone; included in Download my data</t>
  </si>
  <si>
    <t xml:space="preserve">pytest 21 Oct (137 passed): test_outside_applications.py (4 tests)</t>
  </si>
  <si>
    <t xml:space="preserve">TC-34</t>
  </si>
  <si>
    <t xml:space="preserve">Quiet applications are explained</t>
  </si>
  <si>
    <t xml:space="preserve">No update for 14 days, then the decision date passes</t>
  </si>
  <si>
    <t xml:space="preserve">Student sees the 14-day note, then 'No decision by the promised date'</t>
  </si>
  <si>
    <t xml:space="preserve">pytest 21 Oct (137 passed): test_applications.py::test_quiet_applications_get_the_14_day_note_then_no_decision_at_the_date</t>
  </si>
  <si>
    <t xml:space="preserve">TC-35</t>
  </si>
  <si>
    <t xml:space="preserve">Employer</t>
  </si>
  <si>
    <t xml:space="preserve">-</t>
  </si>
  <si>
    <t xml:space="preserve">Only approved employers can post</t>
  </si>
  <si>
    <t xml:space="preserve">Waiting or rejected employer opens employer pages</t>
  </si>
  <si>
    <t xml:space="preserve">Refused until approved</t>
  </si>
  <si>
    <t xml:space="preserve">pytest 21 Oct (137 passed): test_auth.py::test_employer_waiting_or_rejected_cannot_use_employer_pages</t>
  </si>
  <si>
    <t xml:space="preserve">TC-36</t>
  </si>
  <si>
    <t xml:space="preserve">Post a job: skills read, checked, published</t>
  </si>
  <si>
    <t xml:space="preserve">Employer writes an ad, checks the skills, publishes</t>
  </si>
  <si>
    <t xml:space="preserve">Skills saved; what the employer changed is recorded</t>
  </si>
  <si>
    <t xml:space="preserve">pytest 21 Oct (137 passed): test_extraction_records.py::test_employer_read_then_publish_records_their_changes</t>
  </si>
  <si>
    <t xml:space="preserve">TC-37</t>
  </si>
  <si>
    <t xml:space="preserve">Decision date set and moved once</t>
  </si>
  <si>
    <t xml:space="preserve">Post with 'Decide by'; move it twice; try to move it after the date has passed</t>
  </si>
  <si>
    <t xml:space="preserve">Set; moved once, by up to 2 weeks, with a reason; second move refused; moving after the date has passed refused</t>
  </si>
  <si>
    <t xml:space="preserve">pytest 26 Oct (184 passed): docs/evidence/tests/pytest_26oct.txt: test_transparency.py::test_decision_date_is_set_when_posting_and_moved_once, test_decision_date_cannot_be_moved_once_it_has_passed</t>
  </si>
  <si>
    <t xml:space="preserve">26 Oct 2026</t>
  </si>
  <si>
    <t xml:space="preserve">26 Oct: the 'only before it passes' rule added (her review: a limit on delays)</t>
  </si>
  <si>
    <t xml:space="preserve">TC-38</t>
  </si>
  <si>
    <t xml:space="preserve">Shortlist, undo, reject, correct</t>
  </si>
  <si>
    <t xml:space="preserve">Change an applicant's status several times</t>
  </si>
  <si>
    <t xml:space="preserve">Each change recorded; Undo restores the previous status</t>
  </si>
  <si>
    <t xml:space="preserve">pytest 21 Oct (137 passed): test_applications.py::test_shortlist_back_and_again_then_reject_then_correct, test_undo_restores_the_previous_status_from_history; Playwright 22 Oct (13 passed, docs/evidence/e2e/run_2026-10-22.txt): 2-employer.spec.js; screenshot docs/evidence/e2e/TC-38_student_sees_shortlisted.png</t>
  </si>
  <si>
    <t xml:space="preserve">TC-39</t>
  </si>
  <si>
    <t xml:space="preserve">Not selected with a reason</t>
  </si>
  <si>
    <t xml:space="preserve">Reject with 'missing skills'</t>
  </si>
  <si>
    <t xml:space="preserve">Student sees the reason and her own missing skills</t>
  </si>
  <si>
    <t xml:space="preserve">pytest 21 Oct (137 passed): test_transparency.py::test_not_selected_with_a_reason_the_student_sees</t>
  </si>
  <si>
    <t xml:space="preserve">TC-40</t>
  </si>
  <si>
    <t xml:space="preserve">Several Not selected at once</t>
  </si>
  <si>
    <t xml:space="preserve">Tick several, one of them another employer's</t>
  </si>
  <si>
    <t xml:space="preserve">All or nothing: refused, nothing changed</t>
  </si>
  <si>
    <t xml:space="preserve">pytest 21 Oct (137 passed): test_transparency.py::test_several_at_once_all_or_nothing</t>
  </si>
  <si>
    <t xml:space="preserve">TC-41</t>
  </si>
  <si>
    <t xml:space="preserve">Several Shortlisted at once</t>
  </si>
  <si>
    <t xml:space="preserve">Tick 3 (one already Accepted), Shortlist</t>
  </si>
  <si>
    <t xml:space="preserve">Only the 2 at Applied move; contact details then shown</t>
  </si>
  <si>
    <t xml:space="preserve">pytest 21 Oct (137 passed): test_transparency.py::test_shortlist_several_only_moves_those_at_applied</t>
  </si>
  <si>
    <t xml:space="preserve">TC-42</t>
  </si>
  <si>
    <t xml:space="preserve">Contact details only after shortlisting</t>
  </si>
  <si>
    <t xml:space="preserve">Open an applicant before and after shortlisting</t>
  </si>
  <si>
    <t xml:space="preserve">Email and phone hidden, then shown</t>
  </si>
  <si>
    <t xml:space="preserve">pytest 21 Oct (137 passed): test_invitations.py::test_contact_details_only_after_shortlisting; Playwright 22 Oct (13 passed, docs/evidence/e2e/run_2026-10-22.txt): 2-employer.spec.js; screenshot docs/evidence/e2e/TC-42_shortlisted_contact.png</t>
  </si>
  <si>
    <t xml:space="preserve">TC-43</t>
  </si>
  <si>
    <t xml:space="preserve">Invite graduates who fit</t>
  </si>
  <si>
    <t xml:space="preserve">Invite a visible graduate; invite again</t>
  </si>
  <si>
    <t xml:space="preserve">Student sees the invitation; only once</t>
  </si>
  <si>
    <t xml:space="preserve">pytest 26 Oct (184 passed): docs/evidence/tests/pytest_26oct.txt: test_invitations.py::test_invite_flow, test_invite_only_once_even_after_not_interested</t>
  </si>
  <si>
    <t xml:space="preserve">TC-44</t>
  </si>
  <si>
    <t xml:space="preserve">After applying, a job asks for less, not more</t>
  </si>
  <si>
    <t xml:space="preserve">Someone applied; employer adds a required skill, then removes one</t>
  </si>
  <si>
    <t xml:space="preserve">Adding refused with 'Post a new job'; removing allowed; student told what was dropped</t>
  </si>
  <si>
    <t xml:space="preserve">pytest 21 Oct (137 passed): test_edit_job.py::test_edit_changes_skills_and_keeps_locked_fields, test_after_applying_the_job_cant_ask_for_more_qualification_or_languages</t>
  </si>
  <si>
    <t xml:space="preserve">TC-45</t>
  </si>
  <si>
    <t xml:space="preserve">Edit and application at the same moment</t>
  </si>
  <si>
    <t xml:space="preserve">Save a stricter edit while a student applies, in both orders</t>
  </si>
  <si>
    <t xml:space="preserve">Application first: edit refused. Edit first: application made under the new ad (row lock)</t>
  </si>
  <si>
    <t xml:space="preserve">pytest 22 Oct (140 passed): test_edit_job.py::test_real_endpoints_application_first_then_a_stricter_edit_is_refused, test_real_endpoints_edit_first_then_the_application_is_made_under_the_new_ad (both fail without the lock)</t>
  </si>
  <si>
    <t xml:space="preserve">TC-46</t>
  </si>
  <si>
    <t xml:space="preserve">Closing a job needs a reason</t>
  </si>
  <si>
    <t xml:space="preserve">Close a job with applicants waiting</t>
  </si>
  <si>
    <t xml:space="preserve">Reason required; everyone waiting is told</t>
  </si>
  <si>
    <t xml:space="preserve">pytest 21 Oct (137 passed): test_applications.py::test_closing_needs_a_reason_and_tells_everyone_waiting</t>
  </si>
  <si>
    <t xml:space="preserve">TC-47</t>
  </si>
  <si>
    <t xml:space="preserve">Reply record shown to students</t>
  </si>
  <si>
    <t xml:space="preserve">Employer decides on time on 3 jobs</t>
  </si>
  <si>
    <t xml:space="preserve">Students see 'replied on time N of M'</t>
  </si>
  <si>
    <t xml:space="preserve">pytest 21 Oct (137 passed): test_transparency.py::test_employer_record_of_deciding_on_time</t>
  </si>
  <si>
    <t xml:space="preserve">TC-48</t>
  </si>
  <si>
    <t xml:space="preserve">Admin</t>
  </si>
  <si>
    <t xml:space="preserve">Approve an employer</t>
  </si>
  <si>
    <t xml:space="preserve">Admin approves a waiting employer</t>
  </si>
  <si>
    <t xml:space="preserve">Employer leaves 'waiting' and can post</t>
  </si>
  <si>
    <t xml:space="preserve">pytest 21 Oct (137 passed): test_admin.py::test_approve_moves_employer_out_of_waiting; Playwright 22 Oct (13 passed, docs/evidence/e2e/run_2026-10-22.txt): 3-admin.spec.js; screenshot docs/evidence/e2e/TC-48_employer_approved.png</t>
  </si>
  <si>
    <t xml:space="preserve">TC-49</t>
  </si>
  <si>
    <t xml:space="preserve">Deactivate an account</t>
  </si>
  <si>
    <t xml:space="preserve">Deactivate with and without a reason; deactivate yourself</t>
  </si>
  <si>
    <t xml:space="preserve">Reason required; can't deactivate yourself; old login stops working</t>
  </si>
  <si>
    <t xml:space="preserve">pytest 21 Oct (137 passed): test_admin.py (2 tests), test_auth.py::test_deactivated_account_old_token_stops_working</t>
  </si>
  <si>
    <t xml:space="preserve">TC-50</t>
  </si>
  <si>
    <t xml:space="preserve">Add an intake and edit its module list</t>
  </si>
  <si>
    <t xml:space="preserve">Admin adds an intake copied from the latest, edits the list</t>
  </si>
  <si>
    <t xml:space="preserve">Intake listed with its modules; other intakes unchanged</t>
  </si>
  <si>
    <t xml:space="preserve">Playwright 22 Oct (13 passed, docs/evidence/e2e/run_2026-10-22.txt): 3-admin.spec.js; screenshot docs/evidence/e2e/TC-50_intake_added.png</t>
  </si>
  <si>
    <t xml:space="preserve">APU1F2701SE added, starts 4 Jan 2027, 40 modules copied from the latest intake, marked Latest</t>
  </si>
  <si>
    <t xml:space="preserve">TC-51</t>
  </si>
  <si>
    <t xml:space="preserve">Accounts</t>
  </si>
  <si>
    <t xml:space="preserve">Sign-up rules</t>
  </si>
  <si>
    <t xml:space="preserve">Sign up without the privacy tick; as admin; same email twice; employer without company</t>
  </si>
  <si>
    <t xml:space="preserve">Each refused with a clear message</t>
  </si>
  <si>
    <t xml:space="preserve">pytest 21 Oct (137 passed): test_auth.py (4 tests); Playwright 22 Oct (13 passed, docs/evidence/e2e/run_2026-10-22.txt): 3-admin.spec.js; screenshot docs/evidence/e2e/TC-51_employer_waiting.png</t>
  </si>
  <si>
    <t xml:space="preserve">TC-52</t>
  </si>
  <si>
    <t xml:space="preserve">Wrong password refused</t>
  </si>
  <si>
    <t xml:space="preserve">Sign in with a wrong password</t>
  </si>
  <si>
    <t xml:space="preserve">Refused</t>
  </si>
  <si>
    <t xml:space="preserve">pytest 21 Oct (137 passed): test_auth.py::test_wrong_password_is_refused</t>
  </si>
  <si>
    <t xml:space="preserve">TC-53</t>
  </si>
  <si>
    <t xml:space="preserve">Forgot password</t>
  </si>
  <si>
    <t xml:space="preserve">Request a code, enter it, set a new password</t>
  </si>
  <si>
    <t xml:space="preserve">Code emailed; new password works; old one doesn't</t>
  </si>
  <si>
    <t xml:space="preserve">docs/evidence/manual/TC-53_1 to TC-53_8 (reset page, code email, code verified, password changed, old password refused, new password signs in, password-changed email)</t>
  </si>
  <si>
    <t xml:space="preserve">Code arrived in Gmail within a minute, naming the account (tc53test), 15 minutes, single use. Code verified, new password set, "Password changed" message. Old password refused ("Invalid credentials", account not revealed); new password signs in. A "password was changed" email followed, with the time and "other devices have been signed out". Real Gmail delivery (SMTP), test account weilinglow0926+tc53@gmail.com.</t>
  </si>
  <si>
    <t xml:space="preserve">TC-54</t>
  </si>
  <si>
    <t xml:space="preserve">Privacy</t>
  </si>
  <si>
    <t xml:space="preserve">Each role reaches only its own pages</t>
  </si>
  <si>
    <t xml:space="preserve">Student, employer and admin call each other's pages</t>
  </si>
  <si>
    <t xml:space="preserve">Refused (403)</t>
  </si>
  <si>
    <t xml:space="preserve">pytest 21 Oct (137 passed): test_auth.py::test_role_checks; Playwright 22 Oct (13 passed, docs/evidence/e2e/run_2026-10-22.txt): 4-access.spec.js; screenshot docs/evidence/e2e/TC-54_student_sent_to_dashboard.png</t>
  </si>
  <si>
    <t xml:space="preserve">In the browser, a student sent to her Dashboard is told "That page is for employers / the career office" (added 22 Oct).</t>
  </si>
  <si>
    <t xml:space="preserve">TC-55</t>
  </si>
  <si>
    <t xml:space="preserve">No one reaches another person's records</t>
  </si>
  <si>
    <t xml:space="preserve">Another employer opens my jobs or applicants; a student opens another's applications</t>
  </si>
  <si>
    <t xml:space="preserve">Refused (404)</t>
  </si>
  <si>
    <t xml:space="preserve">pytest 21 Oct (137 passed): test_permissions.py (2 tests)</t>
  </si>
  <si>
    <t xml:space="preserve">TC-56</t>
  </si>
  <si>
    <t xml:space="preserve">Grades, languages and CGPA only when she allows</t>
  </si>
  <si>
    <t xml:space="preserve">Switch each off and on; view as employer</t>
  </si>
  <si>
    <t xml:space="preserve">Shown only when switched on</t>
  </si>
  <si>
    <t xml:space="preserve">pytest 21 Oct (137 passed): test_permissions.py::test_grades_follow_the_students_switch, test_more_evidence.py::test_languages_and_cgpa_only_when_she_allows</t>
  </si>
  <si>
    <t xml:space="preserve">TC-57</t>
  </si>
  <si>
    <t xml:space="preserve">Download my data</t>
  </si>
  <si>
    <t xml:space="preserve">Student downloads her data</t>
  </si>
  <si>
    <t xml:space="preserve">Every field of her rows included</t>
  </si>
  <si>
    <t xml:space="preserve">pytest 21 Oct (137 passed): test_personal_data.py::test_download_has_every_field_of_my_rows</t>
  </si>
  <si>
    <t xml:space="preserve">TC-58</t>
  </si>
  <si>
    <t xml:space="preserve">Delete my account</t>
  </si>
  <si>
    <t xml:space="preserve">Student deletes her account (and retry after a failure)</t>
  </si>
  <si>
    <t xml:space="preserve">All her data removed; nothing deleted if chat history can't be reached</t>
  </si>
  <si>
    <t xml:space="preserve">pytest 21 Oct (137 passed): test_delete_account.py (3 tests), test_audit_fixes.py::test_delete_can_be_retried_after_postgres_fails</t>
  </si>
  <si>
    <t xml:space="preserve">TC-59</t>
  </si>
  <si>
    <t xml:space="preserve">Updated privacy notice</t>
  </si>
  <si>
    <t xml:space="preserve">Student on the 14 Oct notice signs in</t>
  </si>
  <si>
    <t xml:space="preserve">Pop-up says what changed; agreeing records the 21 Oct version</t>
  </si>
  <si>
    <t xml:space="preserve">pytest 21 Oct (137 passed): test_more_evidence.py::test_someone_on_the_old_notice_can_agree_to_the_new_one</t>
  </si>
  <si>
    <t xml:space="preserve">TC-60</t>
  </si>
  <si>
    <t xml:space="preserve">Install and reliability</t>
  </si>
  <si>
    <t xml:space="preserve">Fresh install</t>
  </si>
  <si>
    <t xml:space="preserve">Start the API on an empty database, run the data migrations</t>
  </si>
  <si>
    <t xml:space="preserve">Starts; programmes, modules and intakes present</t>
  </si>
  <si>
    <t xml:space="preserve">pytest 21 Oct (137 passed): test_install.py (3 tests)</t>
  </si>
  <si>
    <t xml:space="preserve">TC-61</t>
  </si>
  <si>
    <t xml:space="preserve">Migrations safe to repeat; outdated database named</t>
  </si>
  <si>
    <t xml:space="preserve">Run every migration twice; start with one migration missing</t>
  </si>
  <si>
    <t xml:space="preserve">No errors; start-up names the missing migration</t>
  </si>
  <si>
    <t xml:space="preserve">pytest 21 Oct (137 passed): test_install.py::test_every_migration_is_safe_to_run_again, test_audit_fixes.py::test_a_database_one_migration_behind_is_named_then_upgraded</t>
  </si>
  <si>
    <t xml:space="preserve">TC-62</t>
  </si>
  <si>
    <t xml:space="preserve">MongoDB down</t>
  </si>
  <si>
    <t xml:space="preserve">Stop MongoDB, use the app</t>
  </si>
  <si>
    <t xml:space="preserve">Everything works; records reported 'not saved'</t>
  </si>
  <si>
    <t xml:space="preserve">pytest 21 Oct (137 passed): test_extraction_records.py::test_mongodb_down_never_blocks_and_pauses_retries</t>
  </si>
  <si>
    <t xml:space="preserve">TC-63</t>
  </si>
  <si>
    <t xml:space="preserve">GitHub down</t>
  </si>
  <si>
    <t xml:space="preserve">GitHub unreachable while linking a project</t>
  </si>
  <si>
    <t xml:space="preserve">No stale badge shown</t>
  </si>
  <si>
    <t xml:space="preserve">pytest 21 Oct (137 passed): test_github_connect.py::test_github_down_never_shows_an_old_badge_on_a_new_link</t>
  </si>
  <si>
    <t xml:space="preserve">TC-64</t>
  </si>
  <si>
    <t xml:space="preserve">Skill reader down while posting</t>
  </si>
  <si>
    <t xml:space="preserve">AI unavailable when reading an ad</t>
  </si>
  <si>
    <t xml:space="preserve">Clear message; employer can add skills by hand</t>
  </si>
  <si>
    <t xml:space="preserve">docs/evidence/manual/TC-64_1 (reader down: message and new heading), TC-64_2 (published with typed skills); backend/tests/test_extraction_records.py::test_reader_down_says_so_quickly_instead_of_no_skills</t>
  </si>
  <si>
    <t xml:space="preserve">Backend started with a wrong GROQ_API_KEY. Read the skills: "SkillMap couldn't read the skills just now. Add them yourself below, or read the skills again in a few minutes" at the top of the skills, heading "Add the skills students are matched on". 3 required + 1 nice-to-have typed by hand; published and live. Found and fixed first (24 Oct): it used to wait 45 s and show no skills and no message; now about 9 s.</t>
  </si>
  <si>
    <t xml:space="preserve">TC-65</t>
  </si>
  <si>
    <t xml:space="preserve">Non-functional</t>
  </si>
  <si>
    <t xml:space="preserve">Security: known library holes</t>
  </si>
  <si>
    <t xml:space="preserve">Run pip-audit (backend) and npm audit (frontend)</t>
  </si>
  <si>
    <t xml:space="preserve">No high or critical issues left unexplained</t>
  </si>
  <si>
    <t xml:space="preserve">Tool: npm audit + pip-audit</t>
  </si>
  <si>
    <t xml:space="preserve">docs/evidence/security/: npm_audit_2026-10-22_before/after.txt, pip_audit_2026-10-22_before/after.txt</t>
  </si>
  <si>
    <t xml:space="preserve">Before: frontend 3 high, backend 58 advisories in 6 packages. After: 0 and 0 (upgrades; python-jose replaced by PyJWT). 140 pytest + 13 browser tests pass after the changes</t>
  </si>
  <si>
    <t xml:space="preserve">TC-66</t>
  </si>
  <si>
    <t xml:space="preserve">Accessibility</t>
  </si>
  <si>
    <t xml:space="preserve">Lighthouse (desktop, Accessibility) on every page of every role: 4 by hand in Chrome DevTools, all 33 by frontend/scripts/lighthouse_all.mjs; axe-core scan of 33 pages, pop-ups and forms (5-accessibility.spec.js); Job Matches and View applicants with the keyboard only</t>
  </si>
  <si>
    <t xml:space="preserve">No serious accessibility problems left; Lighthouse accessibility score recorded</t>
  </si>
  <si>
    <t xml:space="preserve">Tool: Lighthouse + axe-core scan (Playwright) + keyboard tests</t>
  </si>
  <si>
    <t xml:space="preserve">docs/evidence/lighthouse/ (4 by hand) and lighthouse/all/ (33 + summary.md); docs/evidence/e2e/accessibility.json and accessibility_before_2026-10-22.md; 5-accessibility.spec.js (18 passed)</t>
  </si>
  <si>
    <t xml:space="preserve">Lighthouse accessibility 100 on 33 of 33 pages (Sign in was 93 before the fixes). axe-core, WCAG 2.2 AA + best practice: 0 problems on 33 pages and states (before: low contrast on 17 pages, unlabelled tick boxes and form fields, links shown by colour only, small buttons, missing landmarks). Job and applicant lists open with Tab + Enter. The all-pages run also found a crash on a malformed link (fixed, browser test added)</t>
  </si>
  <si>
    <t xml:space="preserve">23 Oct 2026</t>
  </si>
  <si>
    <t xml:space="preserve">TC-67</t>
  </si>
  <si>
    <t xml:space="preserve">Runs the same in Docker</t>
  </si>
  <si>
    <t xml:space="preserve">Build the Docker images, run the tests inside</t>
  </si>
  <si>
    <t xml:space="preserve">Same results as on the laptop</t>
  </si>
  <si>
    <t xml:space="preserve">Tool (step 5)</t>
  </si>
  <si>
    <t xml:space="preserve">Not run</t>
  </si>
  <si>
    <t xml:space="preserve">TC-68</t>
  </si>
  <si>
    <t xml:space="preserve">Works in other browsers</t>
  </si>
  <si>
    <t xml:space="preserve">Run the 18 browser tests in Chromium, Google Chrome, Microsoft Edge, Firefox and WebKit (Safari's engine): frontend/scripts/all_browsers.sh</t>
  </si>
  <si>
    <t xml:space="preserve">All tests pass in each browser; applying confirmed within 1 s (Google RAIL)</t>
  </si>
  <si>
    <t xml:space="preserve">Playwright E2E (5 browsers)</t>
  </si>
  <si>
    <t xml:space="preserve">docs/evidence/e2e/run_2026-10-23.txt and firefox/, webkit/, edge/, chrome/ (run logs, results, screenshots, accessibility scans)</t>
  </si>
  <si>
    <t xml:space="preserve">18 of 18 in every browser (23 Oct, after the stale-answer fixes). Click to "Applied": Chromium 239 ms, Firefox 485 ms, WebKit 581 ms, Edge 239 ms, Chrome 454 ms (limit 1 s). In WebKit the keyboard tests focus the link directly (WebKit, like Safari, leaves links out of Tab by default)</t>
  </si>
  <si>
    <t xml:space="preserve">Not tested on real Safari (no Mac); WebKit is its engine. Phones and tablets out of scope (designed for laptops)</t>
  </si>
  <si>
    <t xml:space="preserve">TC-69</t>
  </si>
  <si>
    <t xml:space="preserve">MongoDB for real</t>
  </si>
  <si>
    <t xml:space="preserve">With MongoDB running: python -m pytest tests/test_mongodb_real.py (a separate skillmap_test database)</t>
  </si>
  <si>
    <t xml:space="preserve">Indexes incl. the 18-month expiry exist; a chat is saved, listed, reopened, continued and deleted; another student can't reach it; Download my data and Delete my account cover MongoDB; an evaluation run is saved and read back</t>
  </si>
  <si>
    <t xml:space="preserve">Automated (real MongoDB server)</t>
  </si>
  <si>
    <t xml:space="preserve">pytest 23 Oct (176 passed): docs/evidence/tests/pytest_2026-10-23.txt, tests/test_mongodb_real.py</t>
  </si>
  <si>
    <t xml:space="preserve">As expected: 4 of 4 against the real server</t>
  </si>
  <si>
    <t xml:space="preserve">Skipped with a message when MongoDB is off; the other tests use stand-ins</t>
  </si>
  <si>
    <t xml:space="preserve">TC-70</t>
  </si>
  <si>
    <t xml:space="preserve">Declining an invitation, with or without a reason</t>
  </si>
  <si>
    <t xml:space="preserve">Student says No thanks with 'Already have an offer'; another with no reason; another picks 'Other' with no words; then one applies anyway</t>
  </si>
  <si>
    <t xml:space="preserve">Employer sees 'Declined · Already have an offer' and 'Declined · No reason given'; 'Other' without words refused; she can still apply, and that application is not tagged 'Invited'</t>
  </si>
  <si>
    <t xml:space="preserve">pytest 26 Oct (184 passed): docs/evidence/tests/pytest_26oct.txt: test_invitations.py::test_declining_shows_the_reason_and_still_lets_her_apply</t>
  </si>
  <si>
    <t xml:space="preserve">Reason optional; 'Other' needs words (up to 200 characters)</t>
  </si>
  <si>
    <t xml:space="preserve">TC-71</t>
  </si>
  <si>
    <t xml:space="preserve">No answer in 14 days shows 'No reply'</t>
  </si>
  <si>
    <t xml:space="preserve">Invitation left unanswered for 15 days</t>
  </si>
  <si>
    <t xml:space="preserve">Employer sees 'No reply'; the student no longer sees the invitation</t>
  </si>
  <si>
    <t xml:space="preserve">pytest 26 Oct (184 passed): docs/evidence/tests/pytest_26oct.txt: test_invitations.py::test_no_answer_after_14_days_is_no_reply</t>
  </si>
  <si>
    <t xml:space="preserve">TC-72</t>
  </si>
  <si>
    <t xml:space="preserve">Invite several at once</t>
  </si>
  <si>
    <t xml:space="preserve">Tick graduates on View applicants (one already invited, one who has applied) and press Invite</t>
  </si>
  <si>
    <t xml:space="preserve">Each ticked graduate who can be invited is invited; the others are skipped and counted; at most 50 at a time</t>
  </si>
  <si>
    <t xml:space="preserve">pytest 26 Oct (184 passed): docs/evidence/tests/pytest_26oct.txt: test_invitations.py::test_invite_selected_invites_each_and_reports_the_rest</t>
  </si>
  <si>
    <t xml:space="preserve">Only graduates the employer ticks; no 'invite all' across jobs</t>
  </si>
  <si>
    <t xml:space="preserve">TC-73</t>
  </si>
  <si>
    <t xml:space="preserve">Graduates who fit: order and nice-to-have skills</t>
  </si>
  <si>
    <t xml:space="preserve">Two graduates with the same required skills, one also with the nice-to-have; then invite the better match</t>
  </si>
  <si>
    <t xml:space="preserve">The one with the nice-to-have comes first; employers see only the nice-to-haves a graduate has, never how many they lack; once invited, the graduate moves below those not invited yet</t>
  </si>
  <si>
    <t xml:space="preserve">pytest 26 Oct (184 passed): docs/evidence/tests/pytest_26oct.txt: test_invitations.py::test_graduates_with_nice_to_have_skills_come_first, test_graduates_not_yet_invited_come_first</t>
  </si>
  <si>
    <t xml:space="preserve">Her 21 Oct rule: strengths only, never a 'no' that isn't required</t>
  </si>
  <si>
    <t xml:space="preserve">TC-74</t>
  </si>
  <si>
    <t xml:space="preserve">Taking applications again only before the decision date</t>
  </si>
  <si>
    <t xml:space="preserve">Stop new applications, take them again, stop again; then the decision date passes and try again</t>
  </si>
  <si>
    <t xml:space="preserve">Stopping and restarting never move the decision date; restarting after the date has passed is refused</t>
  </si>
  <si>
    <t xml:space="preserve">pytest 26 Oct (184 passed): docs/evidence/tests/pytest_26oct.txt: test_transparency.py::test_applications_can_restart_only_before_the_decision_date</t>
  </si>
  <si>
    <t xml:space="preserve">The date is the promise to people who already applied; only 'Move decision date' changes it</t>
  </si>
  <si>
    <t xml:space="preserve">SkillMap system testing — summary</t>
  </si>
  <si>
    <t xml:space="preserve">Counts update from the Status column of 'Test cases'.</t>
  </si>
  <si>
    <t xml:space="preserve">Total</t>
  </si>
  <si>
    <t xml:space="preserve">Fail</t>
  </si>
  <si>
    <t xml:space="preserve">By IR objective</t>
  </si>
  <si>
    <t xml:space="preserve">1. Academic skill extraction</t>
  </si>
  <si>
    <t xml:space="preserve">2. Job recommendation</t>
  </si>
  <si>
    <t xml:space="preserve">3. Explainable skill gap</t>
  </si>
  <si>
    <t xml:space="preserve">4. AI chatbot</t>
  </si>
  <si>
    <t xml:space="preserve">How to use this sheet</t>
  </si>
  <si>
    <t xml:space="preserve">Each row is one system test: what you do (Steps) and what should happen (Expected result).</t>
  </si>
  <si>
    <t xml:space="preserve">Fill in only these columns as you test: Actual result, Status (Pass / Fail / Not run, from the list), Date tested, Notes.</t>
  </si>
  <si>
    <t xml:space="preserve">Automated rows: the whole suite was last run on 26 Oct 2026 on Windows: 184 passed (docs/evidence/tests/pytest_26oct.txt), so rows with an earlier date also passed then. Re-run pytest after any change and update the date.</t>
  </si>
  <si>
    <t xml:space="preserve">Evaluation rows come from the evaluation runs (docs/evidence/ and MongoDB evaluation_runs).</t>
  </si>
  <si>
    <t xml:space="preserve">'Playwright E2E' rows are run by the browser tests (docs/testing/e2e.md; last run 26 Oct 2026: 18 passed in Chromium, docs/evidence/e2e/results.json); 'Manual' rows by hand; 'Tool' rows with the named tool.</t>
  </si>
  <si>
    <t xml:space="preserve">If a test fails: set Status to Fail, write what happened in Actual result, and note the fix or bug in Notes.</t>
  </si>
  <si>
    <t xml:space="preserve">Example of a filled row: TC-01 · Actual: 'Python shown with Module: Python Programming (A)' · Status: Pass · Date: 23 Oct 2026.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</si>
</sst>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</font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40"/>
    <col collapsed="false" customWidth="true" hidden="false" outlineLevel="0" max="6" min="6" style="1" width="42"/>
    <col collapsed="false" customWidth="true" hidden="false" outlineLevel="0" max="7" min="7" style="1" width="16"/>
    <col collapsed="false" customWidth="true" hidden="false" outlineLevel="0" max="8" min="8" style="1" width="46"/>
    <col collapsed="false" customWidth="true" hidden="false" outlineLevel="0" max="9" min="9" style="1" width="30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24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3.2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/>
    </row>
    <row r="3" customFormat="false" ht="23.25" hidden="false" customHeight="true" outlineLevel="0" collapsed="false">
      <c r="A3" s="3" t="s">
        <v>23</v>
      </c>
      <c r="B3" s="3" t="s">
        <v>13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21</v>
      </c>
      <c r="K3" s="3" t="s">
        <v>30</v>
      </c>
      <c r="L3" s="3"/>
    </row>
    <row r="4" customFormat="false" ht="34.5" hidden="false" customHeight="true" outlineLevel="0" collapsed="false">
      <c r="A4" s="3" t="s">
        <v>31</v>
      </c>
      <c r="B4" s="3" t="s">
        <v>13</v>
      </c>
      <c r="C4" s="3" t="s">
        <v>14</v>
      </c>
      <c r="D4" s="3" t="s">
        <v>32</v>
      </c>
      <c r="E4" s="3" t="s">
        <v>33</v>
      </c>
      <c r="F4" s="3" t="s">
        <v>34</v>
      </c>
      <c r="G4" s="3" t="s">
        <v>27</v>
      </c>
      <c r="H4" s="3" t="s">
        <v>35</v>
      </c>
      <c r="I4" s="3" t="s">
        <v>29</v>
      </c>
      <c r="J4" s="3" t="s">
        <v>21</v>
      </c>
      <c r="K4" s="3" t="s">
        <v>30</v>
      </c>
      <c r="L4" s="3"/>
    </row>
    <row r="5" customFormat="false" ht="34.5" hidden="false" customHeight="true" outlineLevel="0" collapsed="false">
      <c r="A5" s="3" t="s">
        <v>36</v>
      </c>
      <c r="B5" s="3" t="s">
        <v>13</v>
      </c>
      <c r="C5" s="3" t="s">
        <v>14</v>
      </c>
      <c r="D5" s="3" t="s">
        <v>37</v>
      </c>
      <c r="E5" s="3" t="s">
        <v>38</v>
      </c>
      <c r="F5" s="3" t="s">
        <v>39</v>
      </c>
      <c r="G5" s="3" t="s">
        <v>27</v>
      </c>
      <c r="H5" s="3" t="s">
        <v>40</v>
      </c>
      <c r="I5" s="3" t="s">
        <v>29</v>
      </c>
      <c r="J5" s="3" t="s">
        <v>21</v>
      </c>
      <c r="K5" s="3" t="s">
        <v>30</v>
      </c>
      <c r="L5" s="3"/>
    </row>
    <row r="6" customFormat="false" ht="23.25" hidden="false" customHeight="true" outlineLevel="0" collapsed="false">
      <c r="A6" s="3" t="s">
        <v>41</v>
      </c>
      <c r="B6" s="3" t="s">
        <v>13</v>
      </c>
      <c r="C6" s="3" t="s">
        <v>14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29</v>
      </c>
      <c r="J6" s="3" t="s">
        <v>21</v>
      </c>
      <c r="K6" s="3" t="s">
        <v>30</v>
      </c>
      <c r="L6" s="3"/>
    </row>
    <row r="7" customFormat="false" ht="23.25" hidden="false" customHeight="true" outlineLevel="0" collapsed="false">
      <c r="A7" s="3" t="s">
        <v>47</v>
      </c>
      <c r="B7" s="3" t="s">
        <v>13</v>
      </c>
      <c r="C7" s="3" t="s">
        <v>14</v>
      </c>
      <c r="D7" s="3" t="s">
        <v>48</v>
      </c>
      <c r="E7" s="3" t="s">
        <v>49</v>
      </c>
      <c r="F7" s="3" t="s">
        <v>50</v>
      </c>
      <c r="G7" s="3" t="s">
        <v>45</v>
      </c>
      <c r="H7" s="3" t="s">
        <v>51</v>
      </c>
      <c r="I7" s="3" t="s">
        <v>29</v>
      </c>
      <c r="J7" s="3" t="s">
        <v>21</v>
      </c>
      <c r="K7" s="3" t="s">
        <v>30</v>
      </c>
      <c r="L7" s="3"/>
    </row>
    <row r="8" customFormat="false" ht="34.5" hidden="false" customHeight="true" outlineLevel="0" collapsed="false">
      <c r="A8" s="3" t="s">
        <v>52</v>
      </c>
      <c r="B8" s="3" t="s">
        <v>53</v>
      </c>
      <c r="C8" s="3" t="s">
        <v>14</v>
      </c>
      <c r="D8" s="3" t="s">
        <v>54</v>
      </c>
      <c r="E8" s="3" t="s">
        <v>55</v>
      </c>
      <c r="F8" s="3" t="s">
        <v>56</v>
      </c>
      <c r="G8" s="3" t="s">
        <v>27</v>
      </c>
      <c r="H8" s="3" t="s">
        <v>57</v>
      </c>
      <c r="I8" s="3" t="s">
        <v>29</v>
      </c>
      <c r="J8" s="3" t="s">
        <v>21</v>
      </c>
      <c r="K8" s="3" t="s">
        <v>30</v>
      </c>
      <c r="L8" s="3"/>
    </row>
    <row r="9" customFormat="false" ht="34.5" hidden="false" customHeight="true" outlineLevel="0" collapsed="false">
      <c r="A9" s="3" t="s">
        <v>58</v>
      </c>
      <c r="B9" s="3" t="s">
        <v>53</v>
      </c>
      <c r="C9" s="3" t="s">
        <v>14</v>
      </c>
      <c r="D9" s="3" t="s">
        <v>59</v>
      </c>
      <c r="E9" s="3" t="s">
        <v>60</v>
      </c>
      <c r="F9" s="3" t="s">
        <v>61</v>
      </c>
      <c r="G9" s="3" t="s">
        <v>27</v>
      </c>
      <c r="H9" s="3" t="s">
        <v>62</v>
      </c>
      <c r="I9" s="3" t="s">
        <v>29</v>
      </c>
      <c r="J9" s="3" t="s">
        <v>21</v>
      </c>
      <c r="K9" s="3" t="s">
        <v>30</v>
      </c>
      <c r="L9" s="3"/>
    </row>
    <row r="10" customFormat="false" ht="57" hidden="false" customHeight="true" outlineLevel="0" collapsed="false">
      <c r="A10" s="3" t="s">
        <v>63</v>
      </c>
      <c r="B10" s="3" t="s">
        <v>53</v>
      </c>
      <c r="C10" s="3" t="s">
        <v>14</v>
      </c>
      <c r="D10" s="3" t="s">
        <v>64</v>
      </c>
      <c r="E10" s="3" t="s">
        <v>65</v>
      </c>
      <c r="F10" s="3" t="s">
        <v>66</v>
      </c>
      <c r="G10" s="3" t="s">
        <v>27</v>
      </c>
      <c r="H10" s="3" t="s">
        <v>67</v>
      </c>
      <c r="I10" s="3" t="s">
        <v>29</v>
      </c>
      <c r="J10" s="3" t="s">
        <v>21</v>
      </c>
      <c r="K10" s="3" t="s">
        <v>30</v>
      </c>
      <c r="L10" s="3"/>
    </row>
    <row r="11" customFormat="false" ht="23.25" hidden="false" customHeight="true" outlineLevel="0" collapsed="false">
      <c r="A11" s="3" t="s">
        <v>68</v>
      </c>
      <c r="B11" s="3" t="s">
        <v>53</v>
      </c>
      <c r="C11" s="3" t="s">
        <v>14</v>
      </c>
      <c r="D11" s="3" t="s">
        <v>69</v>
      </c>
      <c r="E11" s="3" t="s">
        <v>70</v>
      </c>
      <c r="F11" s="3" t="s">
        <v>71</v>
      </c>
      <c r="G11" s="3" t="s">
        <v>18</v>
      </c>
      <c r="H11" s="3" t="s">
        <v>72</v>
      </c>
      <c r="I11" s="3" t="s">
        <v>73</v>
      </c>
      <c r="J11" s="3" t="s">
        <v>21</v>
      </c>
      <c r="K11" s="3" t="s">
        <v>22</v>
      </c>
      <c r="L11" s="3"/>
    </row>
    <row r="12" customFormat="false" ht="23.25" hidden="false" customHeight="true" outlineLevel="0" collapsed="false">
      <c r="A12" s="3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18</v>
      </c>
      <c r="H12" s="3" t="s">
        <v>80</v>
      </c>
      <c r="I12" s="3" t="s">
        <v>81</v>
      </c>
      <c r="J12" s="3" t="s">
        <v>21</v>
      </c>
      <c r="K12" s="3" t="s">
        <v>22</v>
      </c>
      <c r="L12" s="3"/>
    </row>
    <row r="13" customFormat="false" ht="23.25" hidden="false" customHeight="true" outlineLevel="0" collapsed="false">
      <c r="A13" s="3" t="s">
        <v>82</v>
      </c>
      <c r="B13" s="3" t="s">
        <v>75</v>
      </c>
      <c r="C13" s="3" t="s">
        <v>76</v>
      </c>
      <c r="D13" s="3" t="s">
        <v>83</v>
      </c>
      <c r="E13" s="3" t="s">
        <v>84</v>
      </c>
      <c r="F13" s="3" t="s">
        <v>85</v>
      </c>
      <c r="G13" s="3" t="s">
        <v>45</v>
      </c>
      <c r="H13" s="3" t="s">
        <v>86</v>
      </c>
      <c r="I13" s="3" t="s">
        <v>29</v>
      </c>
      <c r="J13" s="3" t="s">
        <v>21</v>
      </c>
      <c r="K13" s="3" t="s">
        <v>30</v>
      </c>
      <c r="L13" s="3"/>
    </row>
    <row r="14" customFormat="false" ht="23.25" hidden="false" customHeight="true" outlineLevel="0" collapsed="false">
      <c r="A14" s="3" t="s">
        <v>87</v>
      </c>
      <c r="B14" s="3" t="s">
        <v>75</v>
      </c>
      <c r="C14" s="3" t="s">
        <v>76</v>
      </c>
      <c r="D14" s="3" t="s">
        <v>88</v>
      </c>
      <c r="E14" s="3" t="s">
        <v>89</v>
      </c>
      <c r="F14" s="3" t="s">
        <v>90</v>
      </c>
      <c r="G14" s="3" t="s">
        <v>45</v>
      </c>
      <c r="H14" s="3" t="s">
        <v>91</v>
      </c>
      <c r="I14" s="3" t="s">
        <v>29</v>
      </c>
      <c r="J14" s="3" t="s">
        <v>21</v>
      </c>
      <c r="K14" s="3" t="s">
        <v>30</v>
      </c>
      <c r="L14" s="3"/>
    </row>
    <row r="15" customFormat="false" ht="34.5" hidden="false" customHeight="true" outlineLevel="0" collapsed="false">
      <c r="A15" s="3" t="s">
        <v>92</v>
      </c>
      <c r="B15" s="3" t="s">
        <v>75</v>
      </c>
      <c r="C15" s="3" t="s">
        <v>76</v>
      </c>
      <c r="D15" s="3" t="s">
        <v>93</v>
      </c>
      <c r="E15" s="3" t="s">
        <v>94</v>
      </c>
      <c r="F15" s="3" t="s">
        <v>95</v>
      </c>
      <c r="G15" s="3" t="s">
        <v>27</v>
      </c>
      <c r="H15" s="3" t="s">
        <v>96</v>
      </c>
      <c r="I15" s="3" t="s">
        <v>29</v>
      </c>
      <c r="J15" s="3" t="s">
        <v>21</v>
      </c>
      <c r="K15" s="3" t="s">
        <v>30</v>
      </c>
      <c r="L15" s="3"/>
    </row>
    <row r="16" customFormat="false" ht="23.25" hidden="false" customHeight="true" outlineLevel="0" collapsed="false">
      <c r="A16" s="3" t="s">
        <v>97</v>
      </c>
      <c r="B16" s="3" t="s">
        <v>75</v>
      </c>
      <c r="C16" s="3" t="s">
        <v>76</v>
      </c>
      <c r="D16" s="3" t="s">
        <v>98</v>
      </c>
      <c r="E16" s="3" t="s">
        <v>99</v>
      </c>
      <c r="F16" s="3" t="s">
        <v>100</v>
      </c>
      <c r="G16" s="3" t="s">
        <v>27</v>
      </c>
      <c r="H16" s="3" t="s">
        <v>101</v>
      </c>
      <c r="I16" s="3" t="s">
        <v>29</v>
      </c>
      <c r="J16" s="3" t="s">
        <v>21</v>
      </c>
      <c r="K16" s="3" t="s">
        <v>30</v>
      </c>
      <c r="L16" s="3"/>
    </row>
    <row r="17" customFormat="false" ht="23.25" hidden="false" customHeight="true" outlineLevel="0" collapsed="false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18</v>
      </c>
      <c r="H17" s="3" t="s">
        <v>108</v>
      </c>
      <c r="I17" s="3" t="s">
        <v>109</v>
      </c>
      <c r="J17" s="3" t="s">
        <v>21</v>
      </c>
      <c r="K17" s="3" t="s">
        <v>22</v>
      </c>
      <c r="L17" s="3"/>
    </row>
    <row r="18" customFormat="false" ht="34.5" hidden="false" customHeight="true" outlineLevel="0" collapsed="false">
      <c r="A18" s="3" t="s">
        <v>110</v>
      </c>
      <c r="B18" s="3" t="s">
        <v>103</v>
      </c>
      <c r="C18" s="3" t="s">
        <v>104</v>
      </c>
      <c r="D18" s="3" t="s">
        <v>111</v>
      </c>
      <c r="E18" s="3" t="s">
        <v>112</v>
      </c>
      <c r="F18" s="3" t="s">
        <v>113</v>
      </c>
      <c r="G18" s="3" t="s">
        <v>27</v>
      </c>
      <c r="H18" s="3" t="s">
        <v>114</v>
      </c>
      <c r="I18" s="3" t="s">
        <v>29</v>
      </c>
      <c r="J18" s="3" t="s">
        <v>21</v>
      </c>
      <c r="K18" s="3" t="s">
        <v>30</v>
      </c>
      <c r="L18" s="3"/>
    </row>
    <row r="19" customFormat="false" ht="34.5" hidden="false" customHeight="true" outlineLevel="0" collapsed="false">
      <c r="A19" s="3" t="s">
        <v>115</v>
      </c>
      <c r="B19" s="3" t="s">
        <v>103</v>
      </c>
      <c r="C19" s="3" t="s">
        <v>104</v>
      </c>
      <c r="D19" s="3" t="s">
        <v>116</v>
      </c>
      <c r="E19" s="3" t="s">
        <v>117</v>
      </c>
      <c r="F19" s="3" t="s">
        <v>118</v>
      </c>
      <c r="G19" s="3" t="s">
        <v>27</v>
      </c>
      <c r="H19" s="3" t="s">
        <v>119</v>
      </c>
      <c r="I19" s="3" t="s">
        <v>29</v>
      </c>
      <c r="J19" s="3" t="s">
        <v>21</v>
      </c>
      <c r="K19" s="3" t="s">
        <v>30</v>
      </c>
      <c r="L19" s="3"/>
    </row>
    <row r="20" customFormat="false" ht="34.5" hidden="false" customHeight="true" outlineLevel="0" collapsed="false">
      <c r="A20" s="3" t="s">
        <v>120</v>
      </c>
      <c r="B20" s="3" t="s">
        <v>103</v>
      </c>
      <c r="C20" s="3" t="s">
        <v>104</v>
      </c>
      <c r="D20" s="3" t="s">
        <v>121</v>
      </c>
      <c r="E20" s="3" t="s">
        <v>122</v>
      </c>
      <c r="F20" s="3" t="s">
        <v>123</v>
      </c>
      <c r="G20" s="3" t="s">
        <v>27</v>
      </c>
      <c r="H20" s="3" t="s">
        <v>124</v>
      </c>
      <c r="I20" s="3" t="s">
        <v>29</v>
      </c>
      <c r="J20" s="3" t="s">
        <v>21</v>
      </c>
      <c r="K20" s="3" t="s">
        <v>30</v>
      </c>
      <c r="L20" s="3"/>
    </row>
    <row r="21" customFormat="false" ht="23.25" hidden="false" customHeight="true" outlineLevel="0" collapsed="false">
      <c r="A21" s="3" t="s">
        <v>125</v>
      </c>
      <c r="B21" s="3" t="s">
        <v>103</v>
      </c>
      <c r="C21" s="3" t="s">
        <v>104</v>
      </c>
      <c r="D21" s="3" t="s">
        <v>126</v>
      </c>
      <c r="E21" s="3" t="s">
        <v>127</v>
      </c>
      <c r="F21" s="3" t="s">
        <v>128</v>
      </c>
      <c r="G21" s="3" t="s">
        <v>27</v>
      </c>
      <c r="H21" s="3" t="s">
        <v>129</v>
      </c>
      <c r="I21" s="3" t="s">
        <v>29</v>
      </c>
      <c r="J21" s="3" t="s">
        <v>21</v>
      </c>
      <c r="K21" s="3" t="s">
        <v>30</v>
      </c>
      <c r="L21" s="3"/>
    </row>
    <row r="22" customFormat="false" ht="34.5" hidden="false" customHeight="true" outlineLevel="0" collapsed="false">
      <c r="A22" s="3" t="s">
        <v>130</v>
      </c>
      <c r="B22" s="3" t="s">
        <v>103</v>
      </c>
      <c r="C22" s="3" t="s">
        <v>104</v>
      </c>
      <c r="D22" s="3" t="s">
        <v>131</v>
      </c>
      <c r="E22" s="3" t="s">
        <v>132</v>
      </c>
      <c r="F22" s="3" t="s">
        <v>133</v>
      </c>
      <c r="G22" s="3" t="s">
        <v>27</v>
      </c>
      <c r="H22" s="3" t="s">
        <v>134</v>
      </c>
      <c r="I22" s="3" t="s">
        <v>29</v>
      </c>
      <c r="J22" s="3" t="s">
        <v>21</v>
      </c>
      <c r="K22" s="3" t="s">
        <v>30</v>
      </c>
      <c r="L22" s="3"/>
    </row>
    <row r="23" customFormat="false" ht="34.5" hidden="false" customHeight="true" outlineLevel="0" collapsed="false">
      <c r="A23" s="3" t="s">
        <v>135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27</v>
      </c>
      <c r="H23" s="3" t="s">
        <v>141</v>
      </c>
      <c r="I23" s="3" t="s">
        <v>29</v>
      </c>
      <c r="J23" s="3" t="s">
        <v>21</v>
      </c>
      <c r="K23" s="3" t="s">
        <v>30</v>
      </c>
      <c r="L23" s="3"/>
    </row>
    <row r="24" customFormat="false" ht="34.5" hidden="false" customHeight="true" outlineLevel="0" collapsed="false">
      <c r="A24" s="3" t="s">
        <v>142</v>
      </c>
      <c r="B24" s="3" t="s">
        <v>136</v>
      </c>
      <c r="C24" s="3" t="s">
        <v>137</v>
      </c>
      <c r="D24" s="3" t="s">
        <v>143</v>
      </c>
      <c r="E24" s="3" t="s">
        <v>144</v>
      </c>
      <c r="F24" s="3" t="s">
        <v>145</v>
      </c>
      <c r="G24" s="3" t="s">
        <v>27</v>
      </c>
      <c r="H24" s="3" t="s">
        <v>146</v>
      </c>
      <c r="I24" s="3" t="s">
        <v>29</v>
      </c>
      <c r="J24" s="3" t="s">
        <v>21</v>
      </c>
      <c r="K24" s="3" t="s">
        <v>30</v>
      </c>
      <c r="L24" s="3"/>
    </row>
    <row r="25" customFormat="false" ht="34.5" hidden="false" customHeight="true" outlineLevel="0" collapsed="false">
      <c r="A25" s="3" t="s">
        <v>147</v>
      </c>
      <c r="B25" s="3" t="s">
        <v>136</v>
      </c>
      <c r="C25" s="3" t="s">
        <v>137</v>
      </c>
      <c r="D25" s="3" t="s">
        <v>148</v>
      </c>
      <c r="E25" s="3" t="s">
        <v>149</v>
      </c>
      <c r="F25" s="3" t="s">
        <v>150</v>
      </c>
      <c r="G25" s="3" t="s">
        <v>27</v>
      </c>
      <c r="H25" s="3" t="s">
        <v>151</v>
      </c>
      <c r="I25" s="3" t="s">
        <v>29</v>
      </c>
      <c r="J25" s="3" t="s">
        <v>21</v>
      </c>
      <c r="K25" s="3" t="s">
        <v>30</v>
      </c>
      <c r="L25" s="3"/>
    </row>
    <row r="26" customFormat="false" ht="34.5" hidden="false" customHeight="true" outlineLevel="0" collapsed="false">
      <c r="A26" s="3" t="s">
        <v>152</v>
      </c>
      <c r="B26" s="3" t="s">
        <v>136</v>
      </c>
      <c r="C26" s="3" t="s">
        <v>137</v>
      </c>
      <c r="D26" s="3" t="s">
        <v>153</v>
      </c>
      <c r="E26" s="3" t="s">
        <v>154</v>
      </c>
      <c r="F26" s="3" t="s">
        <v>155</v>
      </c>
      <c r="G26" s="3" t="s">
        <v>27</v>
      </c>
      <c r="H26" s="3" t="s">
        <v>156</v>
      </c>
      <c r="I26" s="3" t="s">
        <v>29</v>
      </c>
      <c r="J26" s="3" t="s">
        <v>21</v>
      </c>
      <c r="K26" s="3" t="s">
        <v>30</v>
      </c>
      <c r="L26" s="3"/>
    </row>
    <row r="27" customFormat="false" ht="15" hidden="false" customHeight="true" outlineLevel="0" collapsed="false">
      <c r="A27" s="3" t="s">
        <v>157</v>
      </c>
      <c r="B27" s="3" t="s">
        <v>136</v>
      </c>
      <c r="C27" s="3" t="s">
        <v>137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162</v>
      </c>
      <c r="I27" s="3" t="s">
        <v>163</v>
      </c>
      <c r="J27" s="3" t="s">
        <v>21</v>
      </c>
      <c r="K27" s="3" t="s">
        <v>164</v>
      </c>
      <c r="L27" s="3"/>
    </row>
    <row r="28" customFormat="false" ht="34.5" hidden="false" customHeight="true" outlineLevel="0" collapsed="false">
      <c r="A28" s="3" t="s">
        <v>165</v>
      </c>
      <c r="B28" s="3" t="s">
        <v>136</v>
      </c>
      <c r="C28" s="3" t="s">
        <v>137</v>
      </c>
      <c r="D28" s="3" t="s">
        <v>166</v>
      </c>
      <c r="E28" s="3" t="s">
        <v>167</v>
      </c>
      <c r="F28" s="3" t="s">
        <v>168</v>
      </c>
      <c r="G28" s="3" t="s">
        <v>27</v>
      </c>
      <c r="H28" s="3" t="s">
        <v>169</v>
      </c>
      <c r="I28" s="3" t="s">
        <v>29</v>
      </c>
      <c r="J28" s="3" t="s">
        <v>21</v>
      </c>
      <c r="K28" s="3" t="s">
        <v>30</v>
      </c>
      <c r="L28" s="3"/>
    </row>
    <row r="29" customFormat="false" ht="23.25" hidden="false" customHeight="true" outlineLevel="0" collapsed="false">
      <c r="A29" s="3" t="s">
        <v>170</v>
      </c>
      <c r="B29" s="3" t="s">
        <v>171</v>
      </c>
      <c r="C29" s="3" t="s">
        <v>76</v>
      </c>
      <c r="D29" s="3" t="s">
        <v>172</v>
      </c>
      <c r="E29" s="3" t="s">
        <v>173</v>
      </c>
      <c r="F29" s="3" t="s">
        <v>174</v>
      </c>
      <c r="G29" s="3" t="s">
        <v>175</v>
      </c>
      <c r="H29" s="3" t="s">
        <v>176</v>
      </c>
      <c r="I29" s="3" t="s">
        <v>29</v>
      </c>
      <c r="J29" s="3" t="s">
        <v>21</v>
      </c>
      <c r="K29" s="3" t="s">
        <v>22</v>
      </c>
      <c r="L29" s="3"/>
    </row>
    <row r="30" customFormat="false" ht="34.5" hidden="false" customHeight="true" outlineLevel="0" collapsed="false">
      <c r="A30" s="3" t="s">
        <v>177</v>
      </c>
      <c r="B30" s="3" t="s">
        <v>171</v>
      </c>
      <c r="C30" s="3" t="s">
        <v>76</v>
      </c>
      <c r="D30" s="3" t="s">
        <v>178</v>
      </c>
      <c r="E30" s="3" t="s">
        <v>179</v>
      </c>
      <c r="F30" s="3" t="s">
        <v>180</v>
      </c>
      <c r="G30" s="3" t="s">
        <v>27</v>
      </c>
      <c r="H30" s="3" t="s">
        <v>181</v>
      </c>
      <c r="I30" s="3" t="s">
        <v>29</v>
      </c>
      <c r="J30" s="3" t="s">
        <v>21</v>
      </c>
      <c r="K30" s="3" t="s">
        <v>30</v>
      </c>
      <c r="L30" s="3"/>
    </row>
    <row r="31" customFormat="false" ht="34.5" hidden="false" customHeight="true" outlineLevel="0" collapsed="false">
      <c r="A31" s="3" t="s">
        <v>182</v>
      </c>
      <c r="B31" s="3" t="s">
        <v>171</v>
      </c>
      <c r="C31" s="3" t="s">
        <v>76</v>
      </c>
      <c r="D31" s="3" t="s">
        <v>183</v>
      </c>
      <c r="E31" s="3" t="s">
        <v>184</v>
      </c>
      <c r="F31" s="3" t="s">
        <v>185</v>
      </c>
      <c r="G31" s="3" t="s">
        <v>27</v>
      </c>
      <c r="H31" s="3" t="s">
        <v>186</v>
      </c>
      <c r="I31" s="3" t="s">
        <v>29</v>
      </c>
      <c r="J31" s="3" t="s">
        <v>21</v>
      </c>
      <c r="K31" s="3" t="s">
        <v>30</v>
      </c>
      <c r="L31" s="3"/>
    </row>
    <row r="32" customFormat="false" ht="34.5" hidden="false" customHeight="true" outlineLevel="0" collapsed="false">
      <c r="A32" s="3" t="s">
        <v>187</v>
      </c>
      <c r="B32" s="3" t="s">
        <v>171</v>
      </c>
      <c r="C32" s="3" t="s">
        <v>76</v>
      </c>
      <c r="D32" s="3" t="s">
        <v>188</v>
      </c>
      <c r="E32" s="3" t="s">
        <v>189</v>
      </c>
      <c r="F32" s="3" t="s">
        <v>190</v>
      </c>
      <c r="G32" s="3" t="s">
        <v>175</v>
      </c>
      <c r="H32" s="3" t="s">
        <v>191</v>
      </c>
      <c r="I32" s="3" t="s">
        <v>29</v>
      </c>
      <c r="J32" s="3" t="s">
        <v>21</v>
      </c>
      <c r="K32" s="3" t="s">
        <v>22</v>
      </c>
      <c r="L32" s="3"/>
    </row>
    <row r="33" customFormat="false" ht="34.5" hidden="false" customHeight="true" outlineLevel="0" collapsed="false">
      <c r="A33" s="3" t="s">
        <v>192</v>
      </c>
      <c r="B33" s="3" t="s">
        <v>171</v>
      </c>
      <c r="C33" s="3" t="s">
        <v>76</v>
      </c>
      <c r="D33" s="3" t="s">
        <v>193</v>
      </c>
      <c r="E33" s="3" t="s">
        <v>194</v>
      </c>
      <c r="F33" s="3" t="s">
        <v>195</v>
      </c>
      <c r="G33" s="3" t="s">
        <v>27</v>
      </c>
      <c r="H33" s="3" t="s">
        <v>196</v>
      </c>
      <c r="I33" s="3" t="s">
        <v>29</v>
      </c>
      <c r="J33" s="3" t="s">
        <v>21</v>
      </c>
      <c r="K33" s="3" t="s">
        <v>30</v>
      </c>
      <c r="L33" s="3"/>
    </row>
    <row r="34" customFormat="false" ht="23.25" hidden="false" customHeight="true" outlineLevel="0" collapsed="false">
      <c r="A34" s="3" t="s">
        <v>197</v>
      </c>
      <c r="B34" s="3" t="s">
        <v>171</v>
      </c>
      <c r="C34" s="3" t="s">
        <v>76</v>
      </c>
      <c r="D34" s="3" t="s">
        <v>198</v>
      </c>
      <c r="E34" s="3" t="s">
        <v>199</v>
      </c>
      <c r="F34" s="3" t="s">
        <v>200</v>
      </c>
      <c r="G34" s="3" t="s">
        <v>27</v>
      </c>
      <c r="H34" s="3" t="s">
        <v>201</v>
      </c>
      <c r="I34" s="3" t="s">
        <v>29</v>
      </c>
      <c r="J34" s="3" t="s">
        <v>21</v>
      </c>
      <c r="K34" s="3" t="s">
        <v>30</v>
      </c>
      <c r="L34" s="3"/>
    </row>
    <row r="35" customFormat="false" ht="34.5" hidden="false" customHeight="true" outlineLevel="0" collapsed="false">
      <c r="A35" s="3" t="s">
        <v>202</v>
      </c>
      <c r="B35" s="3" t="s">
        <v>171</v>
      </c>
      <c r="C35" s="3" t="s">
        <v>76</v>
      </c>
      <c r="D35" s="3" t="s">
        <v>203</v>
      </c>
      <c r="E35" s="3" t="s">
        <v>204</v>
      </c>
      <c r="F35" s="3" t="s">
        <v>205</v>
      </c>
      <c r="G35" s="3" t="s">
        <v>27</v>
      </c>
      <c r="H35" s="3" t="s">
        <v>206</v>
      </c>
      <c r="I35" s="3" t="s">
        <v>29</v>
      </c>
      <c r="J35" s="3" t="s">
        <v>21</v>
      </c>
      <c r="K35" s="3" t="s">
        <v>30</v>
      </c>
      <c r="L35" s="3"/>
    </row>
    <row r="36" customFormat="false" ht="34.5" hidden="false" customHeight="true" outlineLevel="0" collapsed="false">
      <c r="A36" s="3" t="s">
        <v>207</v>
      </c>
      <c r="B36" s="3" t="s">
        <v>208</v>
      </c>
      <c r="C36" s="3" t="s">
        <v>209</v>
      </c>
      <c r="D36" s="3" t="s">
        <v>210</v>
      </c>
      <c r="E36" s="3" t="s">
        <v>211</v>
      </c>
      <c r="F36" s="3" t="s">
        <v>212</v>
      </c>
      <c r="G36" s="3" t="s">
        <v>27</v>
      </c>
      <c r="H36" s="3" t="s">
        <v>213</v>
      </c>
      <c r="I36" s="3" t="s">
        <v>29</v>
      </c>
      <c r="J36" s="3" t="s">
        <v>21</v>
      </c>
      <c r="K36" s="3" t="s">
        <v>30</v>
      </c>
      <c r="L36" s="3"/>
    </row>
    <row r="37" customFormat="false" ht="34.5" hidden="false" customHeight="true" outlineLevel="0" collapsed="false">
      <c r="A37" s="3" t="s">
        <v>214</v>
      </c>
      <c r="B37" s="3" t="s">
        <v>208</v>
      </c>
      <c r="C37" s="3" t="s">
        <v>209</v>
      </c>
      <c r="D37" s="3" t="s">
        <v>215</v>
      </c>
      <c r="E37" s="3" t="s">
        <v>216</v>
      </c>
      <c r="F37" s="3" t="s">
        <v>217</v>
      </c>
      <c r="G37" s="3" t="s">
        <v>27</v>
      </c>
      <c r="H37" s="3" t="s">
        <v>218</v>
      </c>
      <c r="I37" s="3" t="s">
        <v>29</v>
      </c>
      <c r="J37" s="3" t="s">
        <v>21</v>
      </c>
      <c r="K37" s="3" t="s">
        <v>30</v>
      </c>
      <c r="L37" s="3"/>
    </row>
    <row r="38" customFormat="false" ht="34.5" hidden="false" customHeight="true" outlineLevel="0" collapsed="false">
      <c r="A38" s="3" t="s">
        <v>219</v>
      </c>
      <c r="B38" s="3" t="s">
        <v>208</v>
      </c>
      <c r="C38" s="3" t="s">
        <v>209</v>
      </c>
      <c r="D38" s="3" t="s">
        <v>220</v>
      </c>
      <c r="E38" s="3" t="s">
        <v>221</v>
      </c>
      <c r="F38" s="3" t="s">
        <v>222</v>
      </c>
      <c r="G38" s="3" t="s">
        <v>27</v>
      </c>
      <c r="H38" s="3" t="s">
        <v>223</v>
      </c>
      <c r="I38" s="3" t="s">
        <v>29</v>
      </c>
      <c r="J38" s="3" t="s">
        <v>21</v>
      </c>
      <c r="K38" s="3" t="s">
        <v>224</v>
      </c>
      <c r="L38" s="3" t="s">
        <v>225</v>
      </c>
    </row>
    <row r="39" customFormat="false" ht="45.75" hidden="false" customHeight="true" outlineLevel="0" collapsed="false">
      <c r="A39" s="3" t="s">
        <v>226</v>
      </c>
      <c r="B39" s="3" t="s">
        <v>208</v>
      </c>
      <c r="C39" s="3" t="s">
        <v>209</v>
      </c>
      <c r="D39" s="3" t="s">
        <v>227</v>
      </c>
      <c r="E39" s="3" t="s">
        <v>228</v>
      </c>
      <c r="F39" s="3" t="s">
        <v>229</v>
      </c>
      <c r="G39" s="3" t="s">
        <v>175</v>
      </c>
      <c r="H39" s="3" t="s">
        <v>230</v>
      </c>
      <c r="I39" s="3" t="s">
        <v>29</v>
      </c>
      <c r="J39" s="3" t="s">
        <v>21</v>
      </c>
      <c r="K39" s="3" t="s">
        <v>22</v>
      </c>
      <c r="L39" s="3"/>
    </row>
    <row r="40" customFormat="false" ht="34.5" hidden="false" customHeight="true" outlineLevel="0" collapsed="false">
      <c r="A40" s="3" t="s">
        <v>231</v>
      </c>
      <c r="B40" s="3" t="s">
        <v>208</v>
      </c>
      <c r="C40" s="3" t="s">
        <v>209</v>
      </c>
      <c r="D40" s="3" t="s">
        <v>232</v>
      </c>
      <c r="E40" s="3" t="s">
        <v>233</v>
      </c>
      <c r="F40" s="3" t="s">
        <v>234</v>
      </c>
      <c r="G40" s="3" t="s">
        <v>27</v>
      </c>
      <c r="H40" s="3" t="s">
        <v>235</v>
      </c>
      <c r="I40" s="3" t="s">
        <v>29</v>
      </c>
      <c r="J40" s="3" t="s">
        <v>21</v>
      </c>
      <c r="K40" s="3" t="s">
        <v>30</v>
      </c>
      <c r="L40" s="3"/>
    </row>
    <row r="41" customFormat="false" ht="34.5" hidden="false" customHeight="true" outlineLevel="0" collapsed="false">
      <c r="A41" s="3" t="s">
        <v>236</v>
      </c>
      <c r="B41" s="3" t="s">
        <v>208</v>
      </c>
      <c r="C41" s="3" t="s">
        <v>209</v>
      </c>
      <c r="D41" s="3" t="s">
        <v>237</v>
      </c>
      <c r="E41" s="3" t="s">
        <v>238</v>
      </c>
      <c r="F41" s="3" t="s">
        <v>239</v>
      </c>
      <c r="G41" s="3" t="s">
        <v>27</v>
      </c>
      <c r="H41" s="3" t="s">
        <v>240</v>
      </c>
      <c r="I41" s="3" t="s">
        <v>29</v>
      </c>
      <c r="J41" s="3" t="s">
        <v>21</v>
      </c>
      <c r="K41" s="3" t="s">
        <v>30</v>
      </c>
      <c r="L41" s="3"/>
    </row>
    <row r="42" customFormat="false" ht="34.5" hidden="false" customHeight="true" outlineLevel="0" collapsed="false">
      <c r="A42" s="3" t="s">
        <v>241</v>
      </c>
      <c r="B42" s="3" t="s">
        <v>208</v>
      </c>
      <c r="C42" s="3" t="s">
        <v>209</v>
      </c>
      <c r="D42" s="3" t="s">
        <v>242</v>
      </c>
      <c r="E42" s="3" t="s">
        <v>243</v>
      </c>
      <c r="F42" s="3" t="s">
        <v>244</v>
      </c>
      <c r="G42" s="3" t="s">
        <v>27</v>
      </c>
      <c r="H42" s="3" t="s">
        <v>245</v>
      </c>
      <c r="I42" s="3" t="s">
        <v>29</v>
      </c>
      <c r="J42" s="3" t="s">
        <v>21</v>
      </c>
      <c r="K42" s="3" t="s">
        <v>30</v>
      </c>
      <c r="L42" s="3"/>
    </row>
    <row r="43" customFormat="false" ht="34.5" hidden="false" customHeight="true" outlineLevel="0" collapsed="false">
      <c r="A43" s="3" t="s">
        <v>246</v>
      </c>
      <c r="B43" s="3" t="s">
        <v>208</v>
      </c>
      <c r="C43" s="3" t="s">
        <v>209</v>
      </c>
      <c r="D43" s="3" t="s">
        <v>247</v>
      </c>
      <c r="E43" s="3" t="s">
        <v>248</v>
      </c>
      <c r="F43" s="3" t="s">
        <v>249</v>
      </c>
      <c r="G43" s="3" t="s">
        <v>175</v>
      </c>
      <c r="H43" s="3" t="s">
        <v>250</v>
      </c>
      <c r="I43" s="3" t="s">
        <v>29</v>
      </c>
      <c r="J43" s="3" t="s">
        <v>21</v>
      </c>
      <c r="K43" s="3" t="s">
        <v>22</v>
      </c>
      <c r="L43" s="3"/>
    </row>
    <row r="44" customFormat="false" ht="34.5" hidden="false" customHeight="true" outlineLevel="0" collapsed="false">
      <c r="A44" s="3" t="s">
        <v>251</v>
      </c>
      <c r="B44" s="3" t="s">
        <v>208</v>
      </c>
      <c r="C44" s="3" t="s">
        <v>209</v>
      </c>
      <c r="D44" s="3" t="s">
        <v>252</v>
      </c>
      <c r="E44" s="3" t="s">
        <v>253</v>
      </c>
      <c r="F44" s="3" t="s">
        <v>254</v>
      </c>
      <c r="G44" s="3" t="s">
        <v>27</v>
      </c>
      <c r="H44" s="3" t="s">
        <v>255</v>
      </c>
      <c r="I44" s="3" t="s">
        <v>29</v>
      </c>
      <c r="J44" s="3" t="s">
        <v>21</v>
      </c>
      <c r="K44" s="3" t="s">
        <v>224</v>
      </c>
      <c r="L44" s="3"/>
    </row>
    <row r="45" customFormat="false" ht="57" hidden="false" customHeight="true" outlineLevel="0" collapsed="false">
      <c r="A45" s="3" t="s">
        <v>256</v>
      </c>
      <c r="B45" s="3" t="s">
        <v>208</v>
      </c>
      <c r="C45" s="3" t="s">
        <v>209</v>
      </c>
      <c r="D45" s="3" t="s">
        <v>257</v>
      </c>
      <c r="E45" s="3" t="s">
        <v>258</v>
      </c>
      <c r="F45" s="3" t="s">
        <v>259</v>
      </c>
      <c r="G45" s="3" t="s">
        <v>27</v>
      </c>
      <c r="H45" s="3" t="s">
        <v>260</v>
      </c>
      <c r="I45" s="3" t="s">
        <v>29</v>
      </c>
      <c r="J45" s="3" t="s">
        <v>21</v>
      </c>
      <c r="K45" s="3" t="s">
        <v>30</v>
      </c>
      <c r="L45" s="3"/>
    </row>
    <row r="46" customFormat="false" ht="57" hidden="false" customHeight="true" outlineLevel="0" collapsed="false">
      <c r="A46" s="3" t="s">
        <v>261</v>
      </c>
      <c r="B46" s="3" t="s">
        <v>208</v>
      </c>
      <c r="C46" s="3" t="s">
        <v>209</v>
      </c>
      <c r="D46" s="3" t="s">
        <v>262</v>
      </c>
      <c r="E46" s="3" t="s">
        <v>263</v>
      </c>
      <c r="F46" s="3" t="s">
        <v>264</v>
      </c>
      <c r="G46" s="3" t="s">
        <v>27</v>
      </c>
      <c r="H46" s="3" t="s">
        <v>265</v>
      </c>
      <c r="I46" s="3" t="s">
        <v>29</v>
      </c>
      <c r="J46" s="3" t="s">
        <v>21</v>
      </c>
      <c r="K46" s="3" t="s">
        <v>30</v>
      </c>
      <c r="L46" s="3"/>
    </row>
    <row r="47" customFormat="false" ht="34.5" hidden="false" customHeight="true" outlineLevel="0" collapsed="false">
      <c r="A47" s="3" t="s">
        <v>266</v>
      </c>
      <c r="B47" s="3" t="s">
        <v>208</v>
      </c>
      <c r="C47" s="3" t="s">
        <v>209</v>
      </c>
      <c r="D47" s="3" t="s">
        <v>267</v>
      </c>
      <c r="E47" s="3" t="s">
        <v>268</v>
      </c>
      <c r="F47" s="3" t="s">
        <v>269</v>
      </c>
      <c r="G47" s="3" t="s">
        <v>27</v>
      </c>
      <c r="H47" s="3" t="s">
        <v>270</v>
      </c>
      <c r="I47" s="3" t="s">
        <v>29</v>
      </c>
      <c r="J47" s="3" t="s">
        <v>21</v>
      </c>
      <c r="K47" s="3" t="s">
        <v>30</v>
      </c>
      <c r="L47" s="3"/>
    </row>
    <row r="48" customFormat="false" ht="34.5" hidden="false" customHeight="true" outlineLevel="0" collapsed="false">
      <c r="A48" s="3" t="s">
        <v>271</v>
      </c>
      <c r="B48" s="3" t="s">
        <v>208</v>
      </c>
      <c r="C48" s="3" t="s">
        <v>209</v>
      </c>
      <c r="D48" s="3" t="s">
        <v>272</v>
      </c>
      <c r="E48" s="3" t="s">
        <v>273</v>
      </c>
      <c r="F48" s="3" t="s">
        <v>274</v>
      </c>
      <c r="G48" s="3" t="s">
        <v>27</v>
      </c>
      <c r="H48" s="3" t="s">
        <v>275</v>
      </c>
      <c r="I48" s="3" t="s">
        <v>29</v>
      </c>
      <c r="J48" s="3" t="s">
        <v>21</v>
      </c>
      <c r="K48" s="3" t="s">
        <v>30</v>
      </c>
      <c r="L48" s="3"/>
    </row>
    <row r="49" customFormat="false" ht="34.5" hidden="false" customHeight="true" outlineLevel="0" collapsed="false">
      <c r="A49" s="3" t="s">
        <v>276</v>
      </c>
      <c r="B49" s="3" t="s">
        <v>277</v>
      </c>
      <c r="C49" s="3" t="s">
        <v>209</v>
      </c>
      <c r="D49" s="3" t="s">
        <v>278</v>
      </c>
      <c r="E49" s="3" t="s">
        <v>279</v>
      </c>
      <c r="F49" s="3" t="s">
        <v>280</v>
      </c>
      <c r="G49" s="3" t="s">
        <v>175</v>
      </c>
      <c r="H49" s="3" t="s">
        <v>281</v>
      </c>
      <c r="I49" s="3" t="s">
        <v>29</v>
      </c>
      <c r="J49" s="3" t="s">
        <v>21</v>
      </c>
      <c r="K49" s="3" t="s">
        <v>22</v>
      </c>
      <c r="L49" s="3"/>
    </row>
    <row r="50" customFormat="false" ht="34.5" hidden="false" customHeight="true" outlineLevel="0" collapsed="false">
      <c r="A50" s="3" t="s">
        <v>282</v>
      </c>
      <c r="B50" s="3" t="s">
        <v>277</v>
      </c>
      <c r="C50" s="3" t="s">
        <v>209</v>
      </c>
      <c r="D50" s="3" t="s">
        <v>283</v>
      </c>
      <c r="E50" s="3" t="s">
        <v>284</v>
      </c>
      <c r="F50" s="3" t="s">
        <v>285</v>
      </c>
      <c r="G50" s="3" t="s">
        <v>27</v>
      </c>
      <c r="H50" s="3" t="s">
        <v>286</v>
      </c>
      <c r="I50" s="3" t="s">
        <v>29</v>
      </c>
      <c r="J50" s="3" t="s">
        <v>21</v>
      </c>
      <c r="K50" s="3" t="s">
        <v>30</v>
      </c>
      <c r="L50" s="3"/>
    </row>
    <row r="51" customFormat="false" ht="23.25" hidden="false" customHeight="true" outlineLevel="0" collapsed="false">
      <c r="A51" s="3" t="s">
        <v>287</v>
      </c>
      <c r="B51" s="3" t="s">
        <v>277</v>
      </c>
      <c r="C51" s="3" t="s">
        <v>209</v>
      </c>
      <c r="D51" s="3" t="s">
        <v>288</v>
      </c>
      <c r="E51" s="3" t="s">
        <v>289</v>
      </c>
      <c r="F51" s="3" t="s">
        <v>290</v>
      </c>
      <c r="G51" s="3" t="s">
        <v>18</v>
      </c>
      <c r="H51" s="3" t="s">
        <v>291</v>
      </c>
      <c r="I51" s="3" t="s">
        <v>292</v>
      </c>
      <c r="J51" s="3" t="s">
        <v>21</v>
      </c>
      <c r="K51" s="3" t="s">
        <v>22</v>
      </c>
      <c r="L51" s="3"/>
    </row>
    <row r="52" customFormat="false" ht="23.25" hidden="false" customHeight="true" outlineLevel="0" collapsed="false">
      <c r="A52" s="3" t="s">
        <v>293</v>
      </c>
      <c r="B52" s="3" t="s">
        <v>294</v>
      </c>
      <c r="C52" s="3" t="s">
        <v>209</v>
      </c>
      <c r="D52" s="3" t="s">
        <v>295</v>
      </c>
      <c r="E52" s="3" t="s">
        <v>296</v>
      </c>
      <c r="F52" s="3" t="s">
        <v>297</v>
      </c>
      <c r="G52" s="3" t="s">
        <v>175</v>
      </c>
      <c r="H52" s="3" t="s">
        <v>298</v>
      </c>
      <c r="I52" s="3" t="s">
        <v>29</v>
      </c>
      <c r="J52" s="3" t="s">
        <v>21</v>
      </c>
      <c r="K52" s="3" t="s">
        <v>22</v>
      </c>
      <c r="L52" s="3"/>
    </row>
    <row r="53" customFormat="false" ht="23.25" hidden="false" customHeight="true" outlineLevel="0" collapsed="false">
      <c r="A53" s="3" t="s">
        <v>299</v>
      </c>
      <c r="B53" s="3" t="s">
        <v>294</v>
      </c>
      <c r="C53" s="3" t="s">
        <v>209</v>
      </c>
      <c r="D53" s="3" t="s">
        <v>300</v>
      </c>
      <c r="E53" s="3" t="s">
        <v>301</v>
      </c>
      <c r="F53" s="3" t="s">
        <v>302</v>
      </c>
      <c r="G53" s="3" t="s">
        <v>27</v>
      </c>
      <c r="H53" s="3" t="s">
        <v>303</v>
      </c>
      <c r="I53" s="3" t="s">
        <v>29</v>
      </c>
      <c r="J53" s="3" t="s">
        <v>21</v>
      </c>
      <c r="K53" s="3" t="s">
        <v>30</v>
      </c>
      <c r="L53" s="3"/>
    </row>
    <row r="54" customFormat="false" ht="23.25" hidden="false" customHeight="true" outlineLevel="0" collapsed="false">
      <c r="A54" s="3" t="s">
        <v>304</v>
      </c>
      <c r="B54" s="3" t="s">
        <v>294</v>
      </c>
      <c r="C54" s="3" t="s">
        <v>209</v>
      </c>
      <c r="D54" s="3" t="s">
        <v>305</v>
      </c>
      <c r="E54" s="3" t="s">
        <v>306</v>
      </c>
      <c r="F54" s="3" t="s">
        <v>307</v>
      </c>
      <c r="G54" s="3" t="s">
        <v>161</v>
      </c>
      <c r="H54" s="3" t="s">
        <v>308</v>
      </c>
      <c r="I54" s="3" t="s">
        <v>309</v>
      </c>
      <c r="J54" s="3" t="s">
        <v>21</v>
      </c>
      <c r="K54" s="3" t="s">
        <v>164</v>
      </c>
      <c r="L54" s="3"/>
    </row>
    <row r="55" customFormat="false" ht="23.25" hidden="false" customHeight="true" outlineLevel="0" collapsed="false">
      <c r="A55" s="3" t="s">
        <v>310</v>
      </c>
      <c r="B55" s="3" t="s">
        <v>311</v>
      </c>
      <c r="C55" s="3" t="s">
        <v>209</v>
      </c>
      <c r="D55" s="3" t="s">
        <v>312</v>
      </c>
      <c r="E55" s="3" t="s">
        <v>313</v>
      </c>
      <c r="F55" s="3" t="s">
        <v>314</v>
      </c>
      <c r="G55" s="3" t="s">
        <v>175</v>
      </c>
      <c r="H55" s="3" t="s">
        <v>315</v>
      </c>
      <c r="I55" s="3" t="s">
        <v>29</v>
      </c>
      <c r="J55" s="3" t="s">
        <v>21</v>
      </c>
      <c r="K55" s="3" t="s">
        <v>22</v>
      </c>
      <c r="L55" s="3" t="s">
        <v>316</v>
      </c>
    </row>
    <row r="56" customFormat="false" ht="23.25" hidden="false" customHeight="true" outlineLevel="0" collapsed="false">
      <c r="A56" s="3" t="s">
        <v>317</v>
      </c>
      <c r="B56" s="3" t="s">
        <v>311</v>
      </c>
      <c r="C56" s="3" t="s">
        <v>209</v>
      </c>
      <c r="D56" s="3" t="s">
        <v>318</v>
      </c>
      <c r="E56" s="3" t="s">
        <v>319</v>
      </c>
      <c r="F56" s="3" t="s">
        <v>320</v>
      </c>
      <c r="G56" s="3" t="s">
        <v>27</v>
      </c>
      <c r="H56" s="3" t="s">
        <v>321</v>
      </c>
      <c r="I56" s="3" t="s">
        <v>29</v>
      </c>
      <c r="J56" s="3" t="s">
        <v>21</v>
      </c>
      <c r="K56" s="3" t="s">
        <v>30</v>
      </c>
      <c r="L56" s="3"/>
    </row>
    <row r="57" customFormat="false" ht="57" hidden="false" customHeight="true" outlineLevel="0" collapsed="false">
      <c r="A57" s="3" t="s">
        <v>322</v>
      </c>
      <c r="B57" s="3" t="s">
        <v>311</v>
      </c>
      <c r="C57" s="3" t="s">
        <v>209</v>
      </c>
      <c r="D57" s="3" t="s">
        <v>323</v>
      </c>
      <c r="E57" s="3" t="s">
        <v>324</v>
      </c>
      <c r="F57" s="3" t="s">
        <v>325</v>
      </c>
      <c r="G57" s="3" t="s">
        <v>27</v>
      </c>
      <c r="H57" s="3" t="s">
        <v>326</v>
      </c>
      <c r="I57" s="3" t="s">
        <v>29</v>
      </c>
      <c r="J57" s="3" t="s">
        <v>21</v>
      </c>
      <c r="K57" s="3" t="s">
        <v>30</v>
      </c>
      <c r="L57" s="3"/>
    </row>
    <row r="58" customFormat="false" ht="34.5" hidden="false" customHeight="true" outlineLevel="0" collapsed="false">
      <c r="A58" s="3" t="s">
        <v>327</v>
      </c>
      <c r="B58" s="3" t="s">
        <v>311</v>
      </c>
      <c r="C58" s="3" t="s">
        <v>209</v>
      </c>
      <c r="D58" s="3" t="s">
        <v>328</v>
      </c>
      <c r="E58" s="3" t="s">
        <v>329</v>
      </c>
      <c r="F58" s="3" t="s">
        <v>330</v>
      </c>
      <c r="G58" s="3" t="s">
        <v>27</v>
      </c>
      <c r="H58" s="3" t="s">
        <v>331</v>
      </c>
      <c r="I58" s="3" t="s">
        <v>29</v>
      </c>
      <c r="J58" s="3" t="s">
        <v>21</v>
      </c>
      <c r="K58" s="3" t="s">
        <v>30</v>
      </c>
      <c r="L58" s="3"/>
    </row>
    <row r="59" customFormat="false" ht="45.75" hidden="false" customHeight="true" outlineLevel="0" collapsed="false">
      <c r="A59" s="3" t="s">
        <v>332</v>
      </c>
      <c r="B59" s="3" t="s">
        <v>311</v>
      </c>
      <c r="C59" s="3" t="s">
        <v>209</v>
      </c>
      <c r="D59" s="3" t="s">
        <v>333</v>
      </c>
      <c r="E59" s="3" t="s">
        <v>334</v>
      </c>
      <c r="F59" s="3" t="s">
        <v>335</v>
      </c>
      <c r="G59" s="3" t="s">
        <v>27</v>
      </c>
      <c r="H59" s="3" t="s">
        <v>336</v>
      </c>
      <c r="I59" s="3" t="s">
        <v>29</v>
      </c>
      <c r="J59" s="3" t="s">
        <v>21</v>
      </c>
      <c r="K59" s="3" t="s">
        <v>30</v>
      </c>
      <c r="L59" s="3"/>
    </row>
    <row r="60" customFormat="false" ht="34.5" hidden="false" customHeight="true" outlineLevel="0" collapsed="false">
      <c r="A60" s="3" t="s">
        <v>337</v>
      </c>
      <c r="B60" s="3" t="s">
        <v>311</v>
      </c>
      <c r="C60" s="3" t="s">
        <v>209</v>
      </c>
      <c r="D60" s="3" t="s">
        <v>338</v>
      </c>
      <c r="E60" s="3" t="s">
        <v>339</v>
      </c>
      <c r="F60" s="3" t="s">
        <v>340</v>
      </c>
      <c r="G60" s="3" t="s">
        <v>27</v>
      </c>
      <c r="H60" s="3" t="s">
        <v>341</v>
      </c>
      <c r="I60" s="3" t="s">
        <v>29</v>
      </c>
      <c r="J60" s="3" t="s">
        <v>21</v>
      </c>
      <c r="K60" s="3" t="s">
        <v>30</v>
      </c>
      <c r="L60" s="3"/>
    </row>
    <row r="61" customFormat="false" ht="23.25" hidden="false" customHeight="true" outlineLevel="0" collapsed="false">
      <c r="A61" s="3" t="s">
        <v>342</v>
      </c>
      <c r="B61" s="3" t="s">
        <v>343</v>
      </c>
      <c r="C61" s="3" t="s">
        <v>209</v>
      </c>
      <c r="D61" s="3" t="s">
        <v>344</v>
      </c>
      <c r="E61" s="3" t="s">
        <v>345</v>
      </c>
      <c r="F61" s="3" t="s">
        <v>346</v>
      </c>
      <c r="G61" s="3" t="s">
        <v>27</v>
      </c>
      <c r="H61" s="3" t="s">
        <v>347</v>
      </c>
      <c r="I61" s="3" t="s">
        <v>29</v>
      </c>
      <c r="J61" s="3" t="s">
        <v>21</v>
      </c>
      <c r="K61" s="3" t="s">
        <v>30</v>
      </c>
      <c r="L61" s="3"/>
    </row>
    <row r="62" customFormat="false" ht="57" hidden="false" customHeight="true" outlineLevel="0" collapsed="false">
      <c r="A62" s="3" t="s">
        <v>348</v>
      </c>
      <c r="B62" s="3" t="s">
        <v>343</v>
      </c>
      <c r="C62" s="3" t="s">
        <v>209</v>
      </c>
      <c r="D62" s="3" t="s">
        <v>349</v>
      </c>
      <c r="E62" s="3" t="s">
        <v>350</v>
      </c>
      <c r="F62" s="3" t="s">
        <v>351</v>
      </c>
      <c r="G62" s="3" t="s">
        <v>27</v>
      </c>
      <c r="H62" s="3" t="s">
        <v>352</v>
      </c>
      <c r="I62" s="3" t="s">
        <v>29</v>
      </c>
      <c r="J62" s="3" t="s">
        <v>21</v>
      </c>
      <c r="K62" s="3" t="s">
        <v>30</v>
      </c>
      <c r="L62" s="3"/>
    </row>
    <row r="63" customFormat="false" ht="34.5" hidden="false" customHeight="true" outlineLevel="0" collapsed="false">
      <c r="A63" s="3" t="s">
        <v>353</v>
      </c>
      <c r="B63" s="3" t="s">
        <v>343</v>
      </c>
      <c r="C63" s="3" t="s">
        <v>209</v>
      </c>
      <c r="D63" s="3" t="s">
        <v>354</v>
      </c>
      <c r="E63" s="3" t="s">
        <v>355</v>
      </c>
      <c r="F63" s="3" t="s">
        <v>356</v>
      </c>
      <c r="G63" s="3" t="s">
        <v>27</v>
      </c>
      <c r="H63" s="3" t="s">
        <v>357</v>
      </c>
      <c r="I63" s="3" t="s">
        <v>29</v>
      </c>
      <c r="J63" s="3" t="s">
        <v>21</v>
      </c>
      <c r="K63" s="3" t="s">
        <v>30</v>
      </c>
      <c r="L63" s="3"/>
    </row>
    <row r="64" customFormat="false" ht="34.5" hidden="false" customHeight="true" outlineLevel="0" collapsed="false">
      <c r="A64" s="3" t="s">
        <v>358</v>
      </c>
      <c r="B64" s="3" t="s">
        <v>343</v>
      </c>
      <c r="C64" s="3" t="s">
        <v>209</v>
      </c>
      <c r="D64" s="3" t="s">
        <v>359</v>
      </c>
      <c r="E64" s="3" t="s">
        <v>360</v>
      </c>
      <c r="F64" s="3" t="s">
        <v>361</v>
      </c>
      <c r="G64" s="3" t="s">
        <v>27</v>
      </c>
      <c r="H64" s="3" t="s">
        <v>362</v>
      </c>
      <c r="I64" s="3" t="s">
        <v>29</v>
      </c>
      <c r="J64" s="3" t="s">
        <v>21</v>
      </c>
      <c r="K64" s="3" t="s">
        <v>30</v>
      </c>
      <c r="L64" s="3"/>
    </row>
    <row r="65" customFormat="false" ht="23.25" hidden="false" customHeight="true" outlineLevel="0" collapsed="false">
      <c r="A65" s="3" t="s">
        <v>363</v>
      </c>
      <c r="B65" s="3" t="s">
        <v>343</v>
      </c>
      <c r="C65" s="3" t="s">
        <v>209</v>
      </c>
      <c r="D65" s="3" t="s">
        <v>364</v>
      </c>
      <c r="E65" s="3" t="s">
        <v>365</v>
      </c>
      <c r="F65" s="3" t="s">
        <v>366</v>
      </c>
      <c r="G65" s="3" t="s">
        <v>161</v>
      </c>
      <c r="H65" s="3" t="s">
        <v>367</v>
      </c>
      <c r="I65" s="3" t="s">
        <v>368</v>
      </c>
      <c r="J65" s="3" t="s">
        <v>21</v>
      </c>
      <c r="K65" s="3" t="s">
        <v>164</v>
      </c>
      <c r="L65" s="3"/>
    </row>
    <row r="66" customFormat="false" ht="23.25" hidden="false" customHeight="true" outlineLevel="0" collapsed="false">
      <c r="A66" s="3" t="s">
        <v>369</v>
      </c>
      <c r="B66" s="3" t="s">
        <v>370</v>
      </c>
      <c r="C66" s="3" t="s">
        <v>209</v>
      </c>
      <c r="D66" s="3" t="s">
        <v>371</v>
      </c>
      <c r="E66" s="3" t="s">
        <v>372</v>
      </c>
      <c r="F66" s="3" t="s">
        <v>373</v>
      </c>
      <c r="G66" s="3" t="s">
        <v>374</v>
      </c>
      <c r="H66" s="3" t="s">
        <v>375</v>
      </c>
      <c r="I66" s="3" t="s">
        <v>376</v>
      </c>
      <c r="J66" s="3" t="s">
        <v>21</v>
      </c>
      <c r="K66" s="3" t="s">
        <v>22</v>
      </c>
      <c r="L66" s="3"/>
    </row>
    <row r="67" customFormat="false" ht="23.25" hidden="false" customHeight="true" outlineLevel="0" collapsed="false">
      <c r="A67" s="3" t="s">
        <v>377</v>
      </c>
      <c r="B67" s="3" t="s">
        <v>370</v>
      </c>
      <c r="C67" s="3" t="s">
        <v>209</v>
      </c>
      <c r="D67" s="3" t="s">
        <v>378</v>
      </c>
      <c r="E67" s="3" t="s">
        <v>379</v>
      </c>
      <c r="F67" s="3" t="s">
        <v>380</v>
      </c>
      <c r="G67" s="3" t="s">
        <v>381</v>
      </c>
      <c r="H67" s="3" t="s">
        <v>382</v>
      </c>
      <c r="I67" s="3" t="s">
        <v>383</v>
      </c>
      <c r="J67" s="3" t="s">
        <v>21</v>
      </c>
      <c r="K67" s="3" t="s">
        <v>384</v>
      </c>
      <c r="L67" s="3"/>
    </row>
    <row r="68" customFormat="false" ht="15" hidden="false" customHeight="true" outlineLevel="0" collapsed="false">
      <c r="A68" s="3" t="s">
        <v>385</v>
      </c>
      <c r="B68" s="3" t="s">
        <v>370</v>
      </c>
      <c r="C68" s="3" t="s">
        <v>209</v>
      </c>
      <c r="D68" s="3" t="s">
        <v>386</v>
      </c>
      <c r="E68" s="3" t="s">
        <v>387</v>
      </c>
      <c r="F68" s="3" t="s">
        <v>388</v>
      </c>
      <c r="G68" s="3" t="s">
        <v>389</v>
      </c>
      <c r="H68" s="3"/>
      <c r="I68" s="3"/>
      <c r="J68" s="3" t="s">
        <v>390</v>
      </c>
      <c r="K68" s="3"/>
      <c r="L68" s="3"/>
    </row>
    <row r="69" customFormat="false" ht="15" hidden="false" customHeight="true" outlineLevel="0" collapsed="false">
      <c r="A69" s="3" t="s">
        <v>391</v>
      </c>
      <c r="B69" s="3" t="s">
        <v>370</v>
      </c>
      <c r="C69" s="3" t="s">
        <v>209</v>
      </c>
      <c r="D69" s="3" t="s">
        <v>392</v>
      </c>
      <c r="E69" s="3" t="s">
        <v>393</v>
      </c>
      <c r="F69" s="3" t="s">
        <v>394</v>
      </c>
      <c r="G69" s="3" t="s">
        <v>395</v>
      </c>
      <c r="H69" s="3" t="s">
        <v>396</v>
      </c>
      <c r="I69" s="3" t="s">
        <v>397</v>
      </c>
      <c r="J69" s="3" t="s">
        <v>21</v>
      </c>
      <c r="K69" s="3" t="s">
        <v>384</v>
      </c>
      <c r="L69" s="3" t="s">
        <v>398</v>
      </c>
    </row>
    <row r="70" customFormat="false" ht="15" hidden="false" customHeight="true" outlineLevel="0" collapsed="false">
      <c r="A70" s="3" t="s">
        <v>399</v>
      </c>
      <c r="B70" s="3" t="s">
        <v>343</v>
      </c>
      <c r="C70" s="3" t="s">
        <v>137</v>
      </c>
      <c r="D70" s="3" t="s">
        <v>400</v>
      </c>
      <c r="E70" s="3" t="s">
        <v>401</v>
      </c>
      <c r="F70" s="3" t="s">
        <v>402</v>
      </c>
      <c r="G70" s="3" t="s">
        <v>403</v>
      </c>
      <c r="H70" s="3" t="s">
        <v>404</v>
      </c>
      <c r="I70" s="3" t="s">
        <v>405</v>
      </c>
      <c r="J70" s="3" t="s">
        <v>21</v>
      </c>
      <c r="K70" s="3" t="s">
        <v>384</v>
      </c>
      <c r="L70" s="3" t="s">
        <v>406</v>
      </c>
    </row>
    <row r="71" customFormat="false" ht="15" hidden="false" customHeight="true" outlineLevel="0" collapsed="false">
      <c r="A71" s="3" t="s">
        <v>407</v>
      </c>
      <c r="B71" s="3" t="s">
        <v>208</v>
      </c>
      <c r="C71" s="3" t="s">
        <v>209</v>
      </c>
      <c r="D71" s="3" t="s">
        <v>408</v>
      </c>
      <c r="E71" s="3" t="s">
        <v>409</v>
      </c>
      <c r="F71" s="3" t="s">
        <v>410</v>
      </c>
      <c r="G71" s="3" t="s">
        <v>27</v>
      </c>
      <c r="H71" s="3" t="s">
        <v>411</v>
      </c>
      <c r="I71" s="3" t="s">
        <v>29</v>
      </c>
      <c r="J71" s="3" t="s">
        <v>21</v>
      </c>
      <c r="K71" s="3" t="s">
        <v>224</v>
      </c>
      <c r="L71" s="3" t="s">
        <v>412</v>
      </c>
    </row>
    <row r="72" customFormat="false" ht="15" hidden="false" customHeight="true" outlineLevel="0" collapsed="false">
      <c r="A72" s="3" t="s">
        <v>413</v>
      </c>
      <c r="B72" s="3" t="s">
        <v>208</v>
      </c>
      <c r="C72" s="3" t="s">
        <v>209</v>
      </c>
      <c r="D72" s="3" t="s">
        <v>414</v>
      </c>
      <c r="E72" s="3" t="s">
        <v>415</v>
      </c>
      <c r="F72" s="3" t="s">
        <v>416</v>
      </c>
      <c r="G72" s="3" t="s">
        <v>27</v>
      </c>
      <c r="H72" s="3" t="s">
        <v>417</v>
      </c>
      <c r="I72" s="3" t="s">
        <v>29</v>
      </c>
      <c r="J72" s="3" t="s">
        <v>21</v>
      </c>
      <c r="K72" s="3" t="s">
        <v>224</v>
      </c>
      <c r="L72" s="3"/>
    </row>
    <row r="73" customFormat="false" ht="15" hidden="false" customHeight="true" outlineLevel="0" collapsed="false">
      <c r="A73" s="3" t="s">
        <v>418</v>
      </c>
      <c r="B73" s="3" t="s">
        <v>208</v>
      </c>
      <c r="C73" s="3" t="s">
        <v>209</v>
      </c>
      <c r="D73" s="3" t="s">
        <v>419</v>
      </c>
      <c r="E73" s="3" t="s">
        <v>420</v>
      </c>
      <c r="F73" s="3" t="s">
        <v>421</v>
      </c>
      <c r="G73" s="3" t="s">
        <v>27</v>
      </c>
      <c r="H73" s="3" t="s">
        <v>422</v>
      </c>
      <c r="I73" s="3" t="s">
        <v>29</v>
      </c>
      <c r="J73" s="3" t="s">
        <v>21</v>
      </c>
      <c r="K73" s="3" t="s">
        <v>224</v>
      </c>
      <c r="L73" s="3" t="s">
        <v>423</v>
      </c>
    </row>
    <row r="74" customFormat="false" ht="15" hidden="false" customHeight="true" outlineLevel="0" collapsed="false">
      <c r="A74" s="3" t="s">
        <v>424</v>
      </c>
      <c r="B74" s="3" t="s">
        <v>208</v>
      </c>
      <c r="C74" s="3" t="s">
        <v>209</v>
      </c>
      <c r="D74" s="3" t="s">
        <v>425</v>
      </c>
      <c r="E74" s="3" t="s">
        <v>426</v>
      </c>
      <c r="F74" s="3" t="s">
        <v>427</v>
      </c>
      <c r="G74" s="3" t="s">
        <v>27</v>
      </c>
      <c r="H74" s="3" t="s">
        <v>428</v>
      </c>
      <c r="I74" s="3" t="s">
        <v>29</v>
      </c>
      <c r="J74" s="3" t="s">
        <v>21</v>
      </c>
      <c r="K74" s="3" t="s">
        <v>224</v>
      </c>
      <c r="L74" s="3" t="s">
        <v>429</v>
      </c>
    </row>
    <row r="75" customFormat="false" ht="15" hidden="false" customHeight="true" outlineLevel="0" collapsed="false">
      <c r="A75" s="3" t="s">
        <v>430</v>
      </c>
      <c r="B75" s="3" t="s">
        <v>208</v>
      </c>
      <c r="C75" s="3" t="s">
        <v>209</v>
      </c>
      <c r="D75" s="3" t="s">
        <v>431</v>
      </c>
      <c r="E75" s="3" t="s">
        <v>432</v>
      </c>
      <c r="F75" s="3" t="s">
        <v>433</v>
      </c>
      <c r="G75" s="3" t="s">
        <v>27</v>
      </c>
      <c r="H75" s="3" t="s">
        <v>434</v>
      </c>
      <c r="I75" s="3" t="s">
        <v>29</v>
      </c>
      <c r="J75" s="3" t="s">
        <v>21</v>
      </c>
      <c r="K75" s="3" t="s">
        <v>224</v>
      </c>
      <c r="L75" s="3" t="s">
        <v>435</v>
      </c>
    </row>
  </sheetData>
  <autoFilter ref="A1:L75"/>
  <conditionalFormatting sqref="J2:J100">
    <cfRule type="cellIs" priority="2" operator="equal" aboveAverage="0" equalAverage="0" bottom="0" percent="0" rank="0" text="" dxfId="2">
      <formula>"Fail"</formula>
    </cfRule>
    <cfRule type="cellIs" priority="3" operator="equal" aboveAverage="0" equalAverage="0" bottom="0" percent="0" rank="0" text="" dxfId="3">
      <formula>"Pass"</formula>
    </cfRule>
  </conditionalFormatting>
  <dataValidations count="1">
    <dataValidation allowBlank="true" errorStyle="stop" operator="between" showDropDown="false" showErrorMessage="false" showInputMessage="false" sqref="J2:J100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0"/>
  </cols>
  <sheetData>
    <row r="1" customFormat="false" ht="15.75" hidden="false" customHeight="true" outlineLevel="0" collapsed="false">
      <c r="A1" s="4" t="s">
        <v>436</v>
      </c>
    </row>
    <row r="2" customFormat="false" ht="15" hidden="false" customHeight="true" outlineLevel="0" collapsed="false">
      <c r="A2" s="5" t="s">
        <v>437</v>
      </c>
    </row>
    <row r="4" customFormat="false" ht="15" hidden="false" customHeight="true" outlineLevel="0" collapsed="false">
      <c r="A4" s="6" t="s">
        <v>1</v>
      </c>
      <c r="B4" s="6" t="s">
        <v>438</v>
      </c>
      <c r="C4" s="6" t="s">
        <v>21</v>
      </c>
      <c r="D4" s="6" t="s">
        <v>439</v>
      </c>
      <c r="E4" s="6" t="s">
        <v>390</v>
      </c>
    </row>
    <row r="5" customFormat="false" ht="15" hidden="false" customHeight="true" outlineLevel="0" collapsed="false">
      <c r="A5" s="7" t="s">
        <v>13</v>
      </c>
      <c r="B5" s="7" t="n">
        <f aca="false">COUNTIF('Test cases'!$B$2:$B$100,A5)</f>
        <v>6</v>
      </c>
      <c r="C5" s="7" t="n">
        <f aca="false">COUNTIFS('Test cases'!$B$2:$B$100,$A5,'Test cases'!$J$2:$J$100,"Pass")</f>
        <v>6</v>
      </c>
      <c r="D5" s="7" t="n">
        <f aca="false">COUNTIFS('Test cases'!$B$2:$B$100,$A5,'Test cases'!$J$2:$J$100,"Fail")</f>
        <v>0</v>
      </c>
      <c r="E5" s="7" t="n">
        <f aca="false">COUNTIFS('Test cases'!$B$2:$B$100,$A5,'Test cases'!$J$2:$J$100,"Not run")</f>
        <v>0</v>
      </c>
    </row>
    <row r="6" customFormat="false" ht="15" hidden="false" customHeight="true" outlineLevel="0" collapsed="false">
      <c r="A6" s="7" t="s">
        <v>53</v>
      </c>
      <c r="B6" s="7" t="n">
        <f aca="false">COUNTIF('Test cases'!$B$2:$B$100,A6)</f>
        <v>4</v>
      </c>
      <c r="C6" s="7" t="n">
        <f aca="false">COUNTIFS('Test cases'!$B$2:$B$100,$A6,'Test cases'!$J$2:$J$100,"Pass")</f>
        <v>4</v>
      </c>
      <c r="D6" s="7" t="n">
        <f aca="false">COUNTIFS('Test cases'!$B$2:$B$100,$A6,'Test cases'!$J$2:$J$100,"Fail")</f>
        <v>0</v>
      </c>
      <c r="E6" s="7" t="n">
        <f aca="false">COUNTIFS('Test cases'!$B$2:$B$100,$A6,'Test cases'!$J$2:$J$100,"Not run")</f>
        <v>0</v>
      </c>
    </row>
    <row r="7" customFormat="false" ht="15" hidden="false" customHeight="true" outlineLevel="0" collapsed="false">
      <c r="A7" s="7" t="s">
        <v>75</v>
      </c>
      <c r="B7" s="7" t="n">
        <f aca="false">COUNTIF('Test cases'!$B$2:$B$100,A7)</f>
        <v>5</v>
      </c>
      <c r="C7" s="7" t="n">
        <f aca="false">COUNTIFS('Test cases'!$B$2:$B$100,$A7,'Test cases'!$J$2:$J$100,"Pass")</f>
        <v>5</v>
      </c>
      <c r="D7" s="7" t="n">
        <f aca="false">COUNTIFS('Test cases'!$B$2:$B$100,$A7,'Test cases'!$J$2:$J$100,"Fail")</f>
        <v>0</v>
      </c>
      <c r="E7" s="7" t="n">
        <f aca="false">COUNTIFS('Test cases'!$B$2:$B$100,$A7,'Test cases'!$J$2:$J$100,"Not run")</f>
        <v>0</v>
      </c>
    </row>
    <row r="8" customFormat="false" ht="15" hidden="false" customHeight="true" outlineLevel="0" collapsed="false">
      <c r="A8" s="7" t="s">
        <v>103</v>
      </c>
      <c r="B8" s="7" t="n">
        <f aca="false">COUNTIF('Test cases'!$B$2:$B$100,A8)</f>
        <v>6</v>
      </c>
      <c r="C8" s="7" t="n">
        <f aca="false">COUNTIFS('Test cases'!$B$2:$B$100,$A8,'Test cases'!$J$2:$J$100,"Pass")</f>
        <v>6</v>
      </c>
      <c r="D8" s="7" t="n">
        <f aca="false">COUNTIFS('Test cases'!$B$2:$B$100,$A8,'Test cases'!$J$2:$J$100,"Fail")</f>
        <v>0</v>
      </c>
      <c r="E8" s="7" t="n">
        <f aca="false">COUNTIFS('Test cases'!$B$2:$B$100,$A8,'Test cases'!$J$2:$J$100,"Not run")</f>
        <v>0</v>
      </c>
    </row>
    <row r="9" customFormat="false" ht="15" hidden="false" customHeight="true" outlineLevel="0" collapsed="false">
      <c r="A9" s="7" t="s">
        <v>136</v>
      </c>
      <c r="B9" s="7" t="n">
        <f aca="false">COUNTIF('Test cases'!$B$2:$B$100,A9)</f>
        <v>6</v>
      </c>
      <c r="C9" s="7" t="n">
        <f aca="false">COUNTIFS('Test cases'!$B$2:$B$100,$A9,'Test cases'!$J$2:$J$100,"Pass")</f>
        <v>6</v>
      </c>
      <c r="D9" s="7" t="n">
        <f aca="false">COUNTIFS('Test cases'!$B$2:$B$100,$A9,'Test cases'!$J$2:$J$100,"Fail")</f>
        <v>0</v>
      </c>
      <c r="E9" s="7" t="n">
        <f aca="false">COUNTIFS('Test cases'!$B$2:$B$100,$A9,'Test cases'!$J$2:$J$100,"Not run")</f>
        <v>0</v>
      </c>
    </row>
    <row r="10" customFormat="false" ht="15" hidden="false" customHeight="true" outlineLevel="0" collapsed="false">
      <c r="A10" s="7" t="s">
        <v>171</v>
      </c>
      <c r="B10" s="7" t="n">
        <f aca="false">COUNTIF('Test cases'!$B$2:$B$100,A10)</f>
        <v>7</v>
      </c>
      <c r="C10" s="7" t="n">
        <f aca="false">COUNTIFS('Test cases'!$B$2:$B$100,$A10,'Test cases'!$J$2:$J$100,"Pass")</f>
        <v>7</v>
      </c>
      <c r="D10" s="7" t="n">
        <f aca="false">COUNTIFS('Test cases'!$B$2:$B$100,$A10,'Test cases'!$J$2:$J$100,"Fail")</f>
        <v>0</v>
      </c>
      <c r="E10" s="7" t="n">
        <f aca="false">COUNTIFS('Test cases'!$B$2:$B$100,$A10,'Test cases'!$J$2:$J$100,"Not run")</f>
        <v>0</v>
      </c>
    </row>
    <row r="11" customFormat="false" ht="15" hidden="false" customHeight="true" outlineLevel="0" collapsed="false">
      <c r="A11" s="7" t="s">
        <v>208</v>
      </c>
      <c r="B11" s="7" t="n">
        <f aca="false">COUNTIF('Test cases'!$B$2:$B$100,A11)</f>
        <v>18</v>
      </c>
      <c r="C11" s="7" t="n">
        <f aca="false">COUNTIFS('Test cases'!$B$2:$B$100,$A11,'Test cases'!$J$2:$J$100,"Pass")</f>
        <v>18</v>
      </c>
      <c r="D11" s="7" t="n">
        <f aca="false">COUNTIFS('Test cases'!$B$2:$B$100,$A11,'Test cases'!$J$2:$J$100,"Fail")</f>
        <v>0</v>
      </c>
      <c r="E11" s="7" t="n">
        <f aca="false">COUNTIFS('Test cases'!$B$2:$B$100,$A11,'Test cases'!$J$2:$J$100,"Not run")</f>
        <v>0</v>
      </c>
    </row>
    <row r="12" customFormat="false" ht="15" hidden="false" customHeight="true" outlineLevel="0" collapsed="false">
      <c r="A12" s="7" t="s">
        <v>277</v>
      </c>
      <c r="B12" s="7" t="n">
        <f aca="false">COUNTIF('Test cases'!$B$2:$B$100,A12)</f>
        <v>3</v>
      </c>
      <c r="C12" s="7" t="n">
        <f aca="false">COUNTIFS('Test cases'!$B$2:$B$100,$A12,'Test cases'!$J$2:$J$100,"Pass")</f>
        <v>3</v>
      </c>
      <c r="D12" s="7" t="n">
        <f aca="false">COUNTIFS('Test cases'!$B$2:$B$100,$A12,'Test cases'!$J$2:$J$100,"Fail")</f>
        <v>0</v>
      </c>
      <c r="E12" s="7" t="n">
        <f aca="false">COUNTIFS('Test cases'!$B$2:$B$100,$A12,'Test cases'!$J$2:$J$100,"Not run")</f>
        <v>0</v>
      </c>
    </row>
    <row r="13" customFormat="false" ht="15" hidden="false" customHeight="true" outlineLevel="0" collapsed="false">
      <c r="A13" s="7" t="s">
        <v>294</v>
      </c>
      <c r="B13" s="7" t="n">
        <f aca="false">COUNTIF('Test cases'!$B$2:$B$100,A13)</f>
        <v>3</v>
      </c>
      <c r="C13" s="7" t="n">
        <f aca="false">COUNTIFS('Test cases'!$B$2:$B$100,$A13,'Test cases'!$J$2:$J$100,"Pass")</f>
        <v>3</v>
      </c>
      <c r="D13" s="7" t="n">
        <f aca="false">COUNTIFS('Test cases'!$B$2:$B$100,$A13,'Test cases'!$J$2:$J$100,"Fail")</f>
        <v>0</v>
      </c>
      <c r="E13" s="7" t="n">
        <f aca="false">COUNTIFS('Test cases'!$B$2:$B$100,$A13,'Test cases'!$J$2:$J$100,"Not run")</f>
        <v>0</v>
      </c>
    </row>
    <row r="14" customFormat="false" ht="15" hidden="false" customHeight="true" outlineLevel="0" collapsed="false">
      <c r="A14" s="7" t="s">
        <v>311</v>
      </c>
      <c r="B14" s="7" t="n">
        <f aca="false">COUNTIF('Test cases'!$B$2:$B$100,A14)</f>
        <v>6</v>
      </c>
      <c r="C14" s="7" t="n">
        <f aca="false">COUNTIFS('Test cases'!$B$2:$B$100,$A14,'Test cases'!$J$2:$J$100,"Pass")</f>
        <v>6</v>
      </c>
      <c r="D14" s="7" t="n">
        <f aca="false">COUNTIFS('Test cases'!$B$2:$B$100,$A14,'Test cases'!$J$2:$J$100,"Fail")</f>
        <v>0</v>
      </c>
      <c r="E14" s="7" t="n">
        <f aca="false">COUNTIFS('Test cases'!$B$2:$B$100,$A14,'Test cases'!$J$2:$J$100,"Not run")</f>
        <v>0</v>
      </c>
    </row>
    <row r="15" customFormat="false" ht="15" hidden="false" customHeight="true" outlineLevel="0" collapsed="false">
      <c r="A15" s="7" t="s">
        <v>343</v>
      </c>
      <c r="B15" s="7" t="n">
        <f aca="false">COUNTIF('Test cases'!$B$2:$B$100,A15)</f>
        <v>6</v>
      </c>
      <c r="C15" s="7" t="n">
        <f aca="false">COUNTIFS('Test cases'!$B$2:$B$100,$A15,'Test cases'!$J$2:$J$100,"Pass")</f>
        <v>6</v>
      </c>
      <c r="D15" s="7" t="n">
        <f aca="false">COUNTIFS('Test cases'!$B$2:$B$100,$A15,'Test cases'!$J$2:$J$100,"Fail")</f>
        <v>0</v>
      </c>
      <c r="E15" s="7" t="n">
        <f aca="false">COUNTIFS('Test cases'!$B$2:$B$100,$A15,'Test cases'!$J$2:$J$100,"Not run")</f>
        <v>0</v>
      </c>
    </row>
    <row r="16" customFormat="false" ht="15" hidden="false" customHeight="true" outlineLevel="0" collapsed="false">
      <c r="A16" s="7" t="s">
        <v>370</v>
      </c>
      <c r="B16" s="7" t="n">
        <f aca="false">COUNTIF('Test cases'!$B$2:$B$100,A16)</f>
        <v>4</v>
      </c>
      <c r="C16" s="7" t="n">
        <f aca="false">COUNTIFS('Test cases'!$B$2:$B$100,$A16,'Test cases'!$J$2:$J$100,"Pass")</f>
        <v>3</v>
      </c>
      <c r="D16" s="7" t="n">
        <f aca="false">COUNTIFS('Test cases'!$B$2:$B$100,$A16,'Test cases'!$J$2:$J$100,"Fail")</f>
        <v>0</v>
      </c>
      <c r="E16" s="7" t="n">
        <f aca="false">COUNTIFS('Test cases'!$B$2:$B$100,$A16,'Test cases'!$J$2:$J$100,"Not run")</f>
        <v>1</v>
      </c>
    </row>
    <row r="17" customFormat="false" ht="15" hidden="false" customHeight="true" outlineLevel="0" collapsed="false">
      <c r="A17" s="8" t="s">
        <v>438</v>
      </c>
      <c r="B17" s="8" t="n">
        <f aca="false">SUM(B5:B16)</f>
        <v>74</v>
      </c>
      <c r="C17" s="8" t="n">
        <f aca="false">SUM(C5:C16)</f>
        <v>73</v>
      </c>
      <c r="D17" s="8" t="n">
        <f aca="false">SUM(D5:D16)</f>
        <v>0</v>
      </c>
      <c r="E17" s="8" t="n">
        <f aca="false">SUM(E5:E16)</f>
        <v>1</v>
      </c>
    </row>
    <row r="18" customFormat="false" ht="15" hidden="false" customHeight="true" outlineLevel="0" collapsed="false">
      <c r="A18" s="7"/>
      <c r="B18" s="7"/>
      <c r="C18" s="7"/>
      <c r="D18" s="7"/>
      <c r="E18" s="7"/>
    </row>
    <row r="19" customFormat="false" ht="15" hidden="false" customHeight="true" outlineLevel="0" collapsed="false">
      <c r="A19" s="8" t="s">
        <v>440</v>
      </c>
      <c r="B19" s="7"/>
      <c r="C19" s="7"/>
      <c r="D19" s="7"/>
      <c r="E19" s="7"/>
    </row>
    <row r="20" customFormat="false" ht="15" hidden="false" customHeight="true" outlineLevel="0" collapsed="false">
      <c r="A20" s="7" t="s">
        <v>441</v>
      </c>
      <c r="B20" s="7" t="n">
        <f aca="false">COUNTIF('Test cases'!$C$2:$C$100,"1")</f>
        <v>10</v>
      </c>
      <c r="C20" s="7" t="n">
        <f aca="false">COUNTIFS('Test cases'!$C$2:$C$100,"1",'Test cases'!$J$2:$J$100,"Pass")</f>
        <v>10</v>
      </c>
      <c r="D20" s="7"/>
      <c r="E20" s="7"/>
    </row>
    <row r="21" customFormat="false" ht="15" hidden="false" customHeight="true" outlineLevel="0" collapsed="false">
      <c r="A21" s="7" t="s">
        <v>442</v>
      </c>
      <c r="B21" s="7" t="n">
        <f aca="false">COUNTIF('Test cases'!$C$2:$C$100,"2")</f>
        <v>12</v>
      </c>
      <c r="C21" s="7" t="n">
        <f aca="false">COUNTIFS('Test cases'!$C$2:$C$100,"2",'Test cases'!$J$2:$J$100,"Pass")</f>
        <v>12</v>
      </c>
      <c r="D21" s="7"/>
      <c r="E21" s="7"/>
    </row>
    <row r="22" customFormat="false" ht="15" hidden="false" customHeight="true" outlineLevel="0" collapsed="false">
      <c r="A22" s="7" t="s">
        <v>443</v>
      </c>
      <c r="B22" s="7" t="n">
        <f aca="false">COUNTIF('Test cases'!$C$2:$C$100,"3")</f>
        <v>6</v>
      </c>
      <c r="C22" s="7" t="n">
        <f aca="false">COUNTIFS('Test cases'!$C$2:$C$100,"3",'Test cases'!$J$2:$J$100,"Pass")</f>
        <v>6</v>
      </c>
      <c r="D22" s="7"/>
      <c r="E22" s="7"/>
    </row>
    <row r="23" customFormat="false" ht="15" hidden="false" customHeight="true" outlineLevel="0" collapsed="false">
      <c r="A23" s="7" t="s">
        <v>444</v>
      </c>
      <c r="B23" s="7" t="n">
        <f aca="false">COUNTIF('Test cases'!$C$2:$C$100,"4")</f>
        <v>7</v>
      </c>
      <c r="C23" s="7" t="n">
        <f aca="false">COUNTIFS('Test cases'!$C$2:$C$100,"4",'Test cases'!$J$2:$J$100,"Pass")</f>
        <v>7</v>
      </c>
      <c r="D23" s="7"/>
      <c r="E23" s="7"/>
    </row>
    <row r="24" customFormat="false" ht="15" hidden="false" customHeight="true" outlineLevel="0" collapsed="false">
      <c r="A24" s="7"/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9" t="s">
        <v>445</v>
      </c>
    </row>
    <row r="2" customFormat="false" ht="15" hidden="false" customHeight="true" outlineLevel="0" collapsed="false">
      <c r="A2" s="10" t="s">
        <v>446</v>
      </c>
    </row>
    <row r="3" customFormat="false" ht="15" hidden="false" customHeight="true" outlineLevel="0" collapsed="false">
      <c r="A3" s="10" t="s">
        <v>447</v>
      </c>
    </row>
    <row r="4" customFormat="false" ht="23.25" hidden="false" customHeight="true" outlineLevel="0" collapsed="false">
      <c r="A4" s="10" t="s">
        <v>448</v>
      </c>
    </row>
    <row r="5" customFormat="false" ht="15" hidden="false" customHeight="true" outlineLevel="0" collapsed="false">
      <c r="A5" s="10" t="s">
        <v>449</v>
      </c>
    </row>
    <row r="6" customFormat="false" ht="15" hidden="false" customHeight="true" outlineLevel="0" collapsed="false">
      <c r="A6" s="10" t="s">
        <v>450</v>
      </c>
    </row>
    <row r="7" customFormat="false" ht="15" hidden="false" customHeight="true" outlineLevel="0" collapsed="false">
      <c r="A7" s="10" t="s">
        <v>451</v>
      </c>
    </row>
    <row r="8" customFormat="false" ht="15" hidden="false" customHeight="true" outlineLevel="0" collapsed="false">
      <c r="A8" s="10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2026-10-22T04:16:37Z</dcterms:created>
  <dc:creator>openpyxl</dc:creator>
  <dc:description/>
  <dc:language>en-US</dc:language>
  <cp:lastModifiedBy/>
  <dcterms:modified xsi:type="dcterms:W3CDTF">2026-10-25T16:44:23Z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