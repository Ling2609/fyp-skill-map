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 cases" sheetId="1" state="visible" r:id="rId3"/>
    <sheet name="Summary" sheetId="2" state="visible" r:id="rId4"/>
    <sheet name="How to use" sheetId="3" state="visible" r:id="rId5"/>
  </sheets>
  <definedNames>
    <definedName function="false" hidden="false" localSheetId="0" name="_xlnm.Print_Titles" vbProcedure="false">'Test cases'!$1:$1</definedName>
    <definedName function="false" hidden="true" localSheetId="0" name="_xlnm._FilterDatabase" vbProcedure="false">'Test cases'!$A$1:$L$68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<sst xmlns="http://schemas.openxmlformats.org/spreadsheetml/2006/main" count="798" uniqueCount="418">
  <si>
    <t xml:space="preserve">ID</t>
  </si>
  <si>
    <t xml:space="preserve">Area</t>
  </si>
  <si>
    <t xml:space="preserve">IR objective</t>
  </si>
  <si>
    <t xml:space="preserve">Test case</t>
  </si>
  <si>
    <t xml:space="preserve">Steps</t>
  </si>
  <si>
    <t xml:space="preserve">Expected result</t>
  </si>
  <si>
    <t xml:space="preserve">How tested</t>
  </si>
  <si>
    <t xml:space="preserve">Evidence</t>
  </si>
  <si>
    <t xml:space="preserve">Actual result</t>
  </si>
  <si>
    <t xml:space="preserve">Status</t>
  </si>
  <si>
    <t xml:space="preserve">Date tested</t>
  </si>
  <si>
    <t xml:space="preserve">Notes</t>
  </si>
  <si>
    <t xml:space="preserve">TC-01</t>
  </si>
  <si>
    <t xml:space="preserve">Academic skills</t>
  </si>
  <si>
    <t xml:space="preserve">1</t>
  </si>
  <si>
    <t xml:space="preserve">Grades turn modules into skills</t>
  </si>
  <si>
    <t xml:space="preserve">Student opens My Profile &gt; Modules, sets A for Python Programming, saves</t>
  </si>
  <si>
    <t xml:space="preserve">The module turns into its skills: the skill count goes from 0 to 3 (Python, Programming, Debugging) and the grade is saved</t>
  </si>
  <si>
    <t xml:space="preserve">Playwright E2E</t>
  </si>
  <si>
    <t xml:space="preserve">Playwright 22 Oct (13 passed, docs/evidence/e2e/run_2026-10-22.txt): 1-student.spec.js; screenshot docs/evidence/e2e/TC-01_grade_to_skills.png</t>
  </si>
  <si>
    <t xml:space="preserve">Python Programming at A, saved: "3 skills found in your modules" (Python, Programming, Debugging)</t>
  </si>
  <si>
    <t xml:space="preserve">Pass</t>
  </si>
  <si>
    <t xml:space="preserve">22 Oct 2026</t>
  </si>
  <si>
    <t xml:space="preserve">TC-02</t>
  </si>
  <si>
    <t xml:space="preserve">Only pass grades are accepted</t>
  </si>
  <si>
    <t xml:space="preserve">Send a grade below C (e.g. D) for a module</t>
  </si>
  <si>
    <t xml:space="preserve">Refused with 'Grade must be one of A, A-, B+, B, B-, C+ or C'</t>
  </si>
  <si>
    <t xml:space="preserve">Automated</t>
  </si>
  <si>
    <t xml:space="preserve">pytest 21 Oct (137 passed): test_grades.py::test_only_pass_grades_are_accepted</t>
  </si>
  <si>
    <t xml:space="preserve">As expected</t>
  </si>
  <si>
    <t xml:space="preserve">21 Oct 2026</t>
  </si>
  <si>
    <t xml:space="preserve">TC-03</t>
  </si>
  <si>
    <t xml:space="preserve">Changing programme asks before removing grades</t>
  </si>
  <si>
    <t xml:space="preserve">Student with grades changes programme</t>
  </si>
  <si>
    <t xml:space="preserve">Asked to confirm; grades removed only after confirming</t>
  </si>
  <si>
    <t xml:space="preserve">pytest 21 Oct (137 passed): test_grades.py::test_changing_programme_removes_grades_only_after_confirming</t>
  </si>
  <si>
    <t xml:space="preserve">TC-04</t>
  </si>
  <si>
    <t xml:space="preserve">Career office reviews module skills</t>
  </si>
  <si>
    <t xml:space="preserve">Admin opens a module, removes a skill, adds one, marks reviewed</t>
  </si>
  <si>
    <t xml:space="preserve">Changes saved and recorded; students get the reviewed skills</t>
  </si>
  <si>
    <t xml:space="preserve">pytest 21 Oct (137 passed): test_extraction_records.py::test_module_extraction_and_career_office_changes</t>
  </si>
  <si>
    <t xml:space="preserve">TC-05</t>
  </si>
  <si>
    <t xml:space="preserve">Module skill extraction quality</t>
  </si>
  <si>
    <t xml:space="preserve">Evaluation step 3 + prompt v2 on 30 new modules (3 labellers, rules set beforehand)</t>
  </si>
  <si>
    <t xml:space="preserve">F1 passes the pre-set bar</t>
  </si>
  <si>
    <t xml:space="preserve">Evaluation</t>
  </si>
  <si>
    <t xml:space="preserve">F1 0.746 (v1 0.581); docs/evidence/module_prompt_v2</t>
  </si>
  <si>
    <t xml:space="preserve">TC-06</t>
  </si>
  <si>
    <t xml:space="preserve">Job ad skill extraction quality</t>
  </si>
  <si>
    <t xml:space="preserve">Evaluation step 2: LLM extractor vs spaCy baseline on 30 ads</t>
  </si>
  <si>
    <t xml:space="preserve">LLM clearly better than the IR's spaCy approach</t>
  </si>
  <si>
    <t xml:space="preserve">F1 0.695 vs 0.250 (+0.445, CI +0.369 to +0.521); docs/evidence/job_skill_extraction</t>
  </si>
  <si>
    <t xml:space="preserve">TC-07</t>
  </si>
  <si>
    <t xml:space="preserve">Profile evidence</t>
  </si>
  <si>
    <t xml:space="preserve">Experience skills only from her own words</t>
  </si>
  <si>
    <t xml:space="preserve">Student adds an internship; AI suggests skills</t>
  </si>
  <si>
    <t xml:space="preserve">Only skills quoted from her description are kept</t>
  </si>
  <si>
    <t xml:space="preserve">pytest 21 Oct (137 passed): test_more_evidence.py::test_suggest_keeps_only_skills_in_her_words</t>
  </si>
  <si>
    <t xml:space="preserve">TC-08</t>
  </si>
  <si>
    <t xml:space="preserve">Experience reaches every part of SkillMap</t>
  </si>
  <si>
    <t xml:space="preserve">Add work + club experience, apply for a job</t>
  </si>
  <si>
    <t xml:space="preserve">Skills in the profile, employer view, chatbot CV points, Download my data, and removed on delete</t>
  </si>
  <si>
    <t xml:space="preserve">pytest 21 Oct (137 passed): test_more_evidence.py::test_experience_reaches_profile_employer_chatbot_export_and_delete</t>
  </si>
  <si>
    <t xml:space="preserve">TC-09</t>
  </si>
  <si>
    <t xml:space="preserve">GitHub connect and import</t>
  </si>
  <si>
    <t xml:space="preserve">Student connects GitHub, imports a repository, disconnects</t>
  </si>
  <si>
    <t xml:space="preserve">Repositories listed; import needs a connected account; typed links ignored</t>
  </si>
  <si>
    <t xml:space="preserve">pytest 21 Oct (137 passed): test_github_connect.py::test_connect_check_repos_and_disconnect, test_import_needs_a_connected_account_and_typed_link_is_ignored</t>
  </si>
  <si>
    <t xml:space="preserve">TC-10</t>
  </si>
  <si>
    <t xml:space="preserve">Profile checklist</t>
  </si>
  <si>
    <t xml:space="preserve">Student with modules and a project opens My Profile</t>
  </si>
  <si>
    <t xml:space="preserve">'Your profile · 2 of 5 done'; the checklist links to the missing items; hidden when all 5 are done</t>
  </si>
  <si>
    <t xml:space="preserve">Playwright 22 Oct (13 passed, docs/evidence/e2e/run_2026-10-22.txt): 1-student.spec.js; screenshot docs/evidence/e2e/TC-10_profile_checklist.png</t>
  </si>
  <si>
    <t xml:space="preserve">"Your profile · 1 of 5 done"; the checklist ticks Modules and offers Projects, Experience, Certificates, About you</t>
  </si>
  <si>
    <t xml:space="preserve">TC-11</t>
  </si>
  <si>
    <t xml:space="preserve">Job recommendation</t>
  </si>
  <si>
    <t xml:space="preserve">2</t>
  </si>
  <si>
    <t xml:space="preserve">Job Matches lists jobs for her skills</t>
  </si>
  <si>
    <t xml:space="preserve">Student with grades opens Job Matches</t>
  </si>
  <si>
    <t xml:space="preserve">Jobs ordered by match, each with matched/required counts</t>
  </si>
  <si>
    <t xml:space="preserve">Playwright 22 Oct (13 passed, docs/evidence/e2e/run_2026-10-22.txt): 1-student.spec.js; screenshot docs/evidence/e2e/TC-11_job_matches.png</t>
  </si>
  <si>
    <t xml:space="preserve">Job Matches lists the 3 open jobs with "1/3 required" or "0/3 required"</t>
  </si>
  <si>
    <t xml:space="preserve">TC-12</t>
  </si>
  <si>
    <t xml:space="preserve">Ranking better than a keyword baseline</t>
  </si>
  <si>
    <t xml:space="preserve">Evaluation step 4: 10 programme profiles, 3 judges, nDCG@10</t>
  </si>
  <si>
    <t xml:space="preserve">SkillMap beats keyword matching (pre-set rule)</t>
  </si>
  <si>
    <t xml:space="preserve">nDCG@10 0.796 vs 0.526 (CI +0.213 to +0.323); her spot-check 26/27; docs/evidence/ranking</t>
  </si>
  <si>
    <t xml:space="preserve">TC-13</t>
  </si>
  <si>
    <t xml:space="preserve">Response time</t>
  </si>
  <si>
    <t xml:space="preserve">Evaluation E5: real server, cold and warm requests</t>
  </si>
  <si>
    <t xml:space="preserve">Warm p95 under 1 s; cold under 10 s</t>
  </si>
  <si>
    <t xml:space="preserve">Job Matches warm p95 0.475 s, cold 3.8-4.0 s; docs/evidence/performance</t>
  </si>
  <si>
    <t xml:space="preserve">TC-14</t>
  </si>
  <si>
    <t xml:space="preserve">Career goal: best-fitting careers first</t>
  </si>
  <si>
    <t xml:space="preserve">Student sets a goal and opens the career picker</t>
  </si>
  <si>
    <t xml:space="preserve">Careers ordered by how many of their top skills she has</t>
  </si>
  <si>
    <t xml:space="preserve">pytest 21 Oct (137 passed): test_career_fit.py::test_careers_best_fit_first_with_a_goal_set</t>
  </si>
  <si>
    <t xml:space="preserve">TC-15</t>
  </si>
  <si>
    <t xml:space="preserve">Faster matching gives identical answers</t>
  </si>
  <si>
    <t xml:space="preserve">Run old and new matching on the same data</t>
  </si>
  <si>
    <t xml:space="preserve">Same results</t>
  </si>
  <si>
    <t xml:space="preserve">pytest 21 Oct (137 passed): test_match_speed.py::test_same_answers_as_before</t>
  </si>
  <si>
    <t xml:space="preserve">TC-16</t>
  </si>
  <si>
    <t xml:space="preserve">Skill gap</t>
  </si>
  <si>
    <t xml:space="preserve">3</t>
  </si>
  <si>
    <t xml:space="preserve">Job Detail explains match and gap</t>
  </si>
  <si>
    <t xml:space="preserve">Student opens a job she partly fits</t>
  </si>
  <si>
    <t xml:space="preserve">Matched skills with where each came from; missing required skills; 'Learn' links</t>
  </si>
  <si>
    <t xml:space="preserve">Playwright 22 Oct (13 passed, docs/evidence/e2e/run_2026-10-22.txt): 1-student.spec.js; screenshot docs/evidence/e2e/TC-16_job_detail_gap.png</t>
  </si>
  <si>
    <t xml:space="preserve">33%, you have 1 of 3; Skill Gap Analysis: Python matched (her module), SQL and Git missing, each with Learn</t>
  </si>
  <si>
    <t xml:space="preserve">TC-17</t>
  </si>
  <si>
    <t xml:space="preserve">What-if: missing skills and the jobs they open</t>
  </si>
  <si>
    <t xml:space="preserve">Dashboard 'Still to learn' with a goal set</t>
  </si>
  <si>
    <t xml:space="preserve">Each missing skill shows how many more jobs she would fit</t>
  </si>
  <si>
    <t xml:space="preserve">pytest 21 Oct (137 passed): test_whatif.py::test_each_missing_skill_shows_the_jobs_it_would_open</t>
  </si>
  <si>
    <t xml:space="preserve">TC-18</t>
  </si>
  <si>
    <t xml:space="preserve">What the ad asks for besides skills</t>
  </si>
  <si>
    <t xml:space="preserve">Open a live job whose ad names a degree and languages</t>
  </si>
  <si>
    <t xml:space="preserve">Pills for qualification, field, languages; no citizenship</t>
  </si>
  <si>
    <t xml:space="preserve">pytest 21 Oct (137 passed): test_ad_requirements.py::test_live_job_requirements_read_by_the_rules_without_citizenship</t>
  </si>
  <si>
    <t xml:space="preserve">TC-19</t>
  </si>
  <si>
    <t xml:space="preserve">Skills gained in the role are not counted</t>
  </si>
  <si>
    <t xml:space="preserve">Job with skills taught on the job</t>
  </si>
  <si>
    <t xml:space="preserve">Listed separately, not in the match</t>
  </si>
  <si>
    <t xml:space="preserve">pytest 21 Oct (137 passed): test_ad_requirements.py::test_skills_gained_in_the_role_are_listed_not_counted</t>
  </si>
  <si>
    <t xml:space="preserve">TC-20</t>
  </si>
  <si>
    <t xml:space="preserve">No invented job descriptions</t>
  </si>
  <si>
    <t xml:space="preserve">AI formats a live ad; employer post shown</t>
  </si>
  <si>
    <t xml:space="preserve">Employer posts shown as written; invented answers dropped</t>
  </si>
  <si>
    <t xml:space="preserve">pytest 21 Oct (137 passed): test_description_grounding.py (3 tests)</t>
  </si>
  <si>
    <t xml:space="preserve">TC-21</t>
  </si>
  <si>
    <t xml:space="preserve">Preview shows exactly what the employer sees</t>
  </si>
  <si>
    <t xml:space="preserve">Student opens 'Check what they'll see' for a job</t>
  </si>
  <si>
    <t xml:space="preserve">Same profile and match as the employer's applicant page</t>
  </si>
  <si>
    <t xml:space="preserve">pytest 21 Oct (137 passed): test_employer_preview.py::test_preview_for_a_job_matches_the_employer_view</t>
  </si>
  <si>
    <t xml:space="preserve">TC-22</t>
  </si>
  <si>
    <t xml:space="preserve">AI assistant</t>
  </si>
  <si>
    <t xml:space="preserve">4</t>
  </si>
  <si>
    <t xml:space="preserve">Learning plan with checked links</t>
  </si>
  <si>
    <t xml:space="preserve">Student asks for a plan for a missing skill</t>
  </si>
  <si>
    <t xml:space="preserve">Plan with only checked links and a final 'add it to SkillMap' step</t>
  </si>
  <si>
    <t xml:space="preserve">pytest 21 Oct (137 passed): test_learning_plan.py::test_plan_gets_the_my_profile_step_and_only_checked_links</t>
  </si>
  <si>
    <t xml:space="preserve">TC-23</t>
  </si>
  <si>
    <t xml:space="preserve">Learning plan as PDF</t>
  </si>
  <si>
    <t xml:space="preserve">Download the plan</t>
  </si>
  <si>
    <t xml:space="preserve">A PDF that prints on several pages</t>
  </si>
  <si>
    <t xml:space="preserve">pytest 21 Oct (137 passed): test_learning_plan.py::test_download_plan_as_pdf, test_a_long_plan_prints_on_several_pages</t>
  </si>
  <si>
    <t xml:space="preserve">TC-24</t>
  </si>
  <si>
    <t xml:space="preserve">CV points from her own profile only</t>
  </si>
  <si>
    <t xml:space="preserve">Ask for CV points</t>
  </si>
  <si>
    <t xml:space="preserve">Points use only her projects and modules</t>
  </si>
  <si>
    <t xml:space="preserve">pytest 21 Oct (137 passed): test_counsellor_cv.py::test_cv_points_use_only_her_own_profile</t>
  </si>
  <si>
    <t xml:space="preserve">TC-25</t>
  </si>
  <si>
    <t xml:space="preserve">Interview preparation for a shortlisted job</t>
  </si>
  <si>
    <t xml:space="preserve">Shortlisted student clicks 'Prepare for the interview'</t>
  </si>
  <si>
    <t xml:space="preserve">The assistant gets the job ad and her match</t>
  </si>
  <si>
    <t xml:space="preserve">pytest 21 Oct (137 passed): test_employer_preview.py::test_interview_preparation_gets_the_job_ad</t>
  </si>
  <si>
    <t xml:space="preserve">TC-26</t>
  </si>
  <si>
    <t xml:space="preserve">Chat answers and is kept</t>
  </si>
  <si>
    <t xml:space="preserve">Ask a question, leave, come back</t>
  </si>
  <si>
    <t xml:space="preserve">Answer shown; the chat is listed and reopens</t>
  </si>
  <si>
    <t xml:space="preserve">Manual</t>
  </si>
  <si>
    <t xml:space="preserve">Needs the Groq key and MongoDB</t>
  </si>
  <si>
    <t xml:space="preserve">Not run</t>
  </si>
  <si>
    <t xml:space="preserve">TC-27</t>
  </si>
  <si>
    <t xml:space="preserve">Chats expire after 18 months unused</t>
  </si>
  <si>
    <t xml:space="preserve">Chat not used for 18 months</t>
  </si>
  <si>
    <t xml:space="preserve">Removed</t>
  </si>
  <si>
    <t xml:space="preserve">pytest 21 Oct (137 passed): test_audit_fixes.py::test_chats_expire_after_18_months_without_use</t>
  </si>
  <si>
    <t xml:space="preserve">TC-28</t>
  </si>
  <si>
    <t xml:space="preserve">Applications</t>
  </si>
  <si>
    <t xml:space="preserve">Apply once; progress starts at Applied</t>
  </si>
  <si>
    <t xml:space="preserve">Student applies on SkillMap</t>
  </si>
  <si>
    <t xml:space="preserve">One application; My Applications shows Applied with the date</t>
  </si>
  <si>
    <t xml:space="preserve">Automated + Playwright E2E</t>
  </si>
  <si>
    <t xml:space="preserve">pytest 21 Oct (137 passed): test_applications.py::test_apply_once_with_progress; Playwright 22 Oct (13 passed, docs/evidence/e2e/run_2026-10-22.txt): 1-student.spec.js; screenshot docs/evidence/e2e/TC-28_applied.png</t>
  </si>
  <si>
    <t xml:space="preserve">TC-29</t>
  </si>
  <si>
    <t xml:space="preserve">Two clicks at once give one application</t>
  </si>
  <si>
    <t xml:space="preserve">Apply twice at the same moment</t>
  </si>
  <si>
    <t xml:space="preserve">One application, no server error</t>
  </si>
  <si>
    <t xml:space="preserve">pytest 21 Oct (137 passed): test_applications.py::test_simultaneous_applies_give_one_application_no_server_error</t>
  </si>
  <si>
    <t xml:space="preserve">TC-30</t>
  </si>
  <si>
    <t xml:space="preserve">Closed, gone or outside jobs can't be applied for here</t>
  </si>
  <si>
    <t xml:space="preserve">Apply to a closed job or a live ad</t>
  </si>
  <si>
    <t xml:space="preserve">Refused with a clear message</t>
  </si>
  <si>
    <t xml:space="preserve">pytest 21 Oct (137 passed): test_applications.py::test_cannot_apply_to_closed_or_gone_or_live_jobs</t>
  </si>
  <si>
    <t xml:space="preserve">TC-31</t>
  </si>
  <si>
    <t xml:space="preserve">Employer sees the application as sent</t>
  </si>
  <si>
    <t xml:space="preserve">Student applies, then changes her profile</t>
  </si>
  <si>
    <t xml:space="preserve">Employer sees the sent copy first, with 'See latest'</t>
  </si>
  <si>
    <t xml:space="preserve">pytest 21 Oct (137 passed): test_employer_preview.py::test_employer_sees_what_was_sent_then_the_latest; Playwright 22 Oct (13 passed, docs/evidence/e2e/run_2026-10-22.txt): 2-employer.spec.js; screenshot docs/evidence/e2e/TC-31_applicants.png</t>
  </si>
  <si>
    <t xml:space="preserve">TC-32</t>
  </si>
  <si>
    <t xml:space="preserve">Applications made before copies were kept</t>
  </si>
  <si>
    <t xml:space="preserve">Open an old application with no saved copy</t>
  </si>
  <si>
    <t xml:space="preserve">Employer sees the latest profile, no version bar; student sees no change note</t>
  </si>
  <si>
    <t xml:space="preserve">pytest 22 Oct (140 passed): test_edit_job.py::test_an_application_from_before_copies_were_kept_still_shows</t>
  </si>
  <si>
    <t xml:space="preserve">TC-33</t>
  </si>
  <si>
    <t xml:space="preserve">Applications on other sites</t>
  </si>
  <si>
    <t xml:space="preserve">Record, update and undo an outside application</t>
  </si>
  <si>
    <t xml:space="preserve">Saved, updated, undone; included in Download my data</t>
  </si>
  <si>
    <t xml:space="preserve">pytest 21 Oct (137 passed): test_outside_applications.py (4 tests)</t>
  </si>
  <si>
    <t xml:space="preserve">TC-34</t>
  </si>
  <si>
    <t xml:space="preserve">Quiet applications are explained</t>
  </si>
  <si>
    <t xml:space="preserve">No update for 14 days, then the decision date passes</t>
  </si>
  <si>
    <t xml:space="preserve">Student sees the 14-day note, then 'No decision by the promised date'</t>
  </si>
  <si>
    <t xml:space="preserve">pytest 21 Oct (137 passed): test_applications.py::test_quiet_applications_get_the_14_day_note_then_no_decision_at_the_date</t>
  </si>
  <si>
    <t xml:space="preserve">TC-35</t>
  </si>
  <si>
    <t xml:space="preserve">Employer</t>
  </si>
  <si>
    <t xml:space="preserve">-</t>
  </si>
  <si>
    <t xml:space="preserve">Only approved employers can post</t>
  </si>
  <si>
    <t xml:space="preserve">Waiting or rejected employer opens employer pages</t>
  </si>
  <si>
    <t xml:space="preserve">Refused until approved</t>
  </si>
  <si>
    <t xml:space="preserve">pytest 21 Oct (137 passed): test_auth.py::test_employer_waiting_or_rejected_cannot_use_employer_pages</t>
  </si>
  <si>
    <t xml:space="preserve">TC-36</t>
  </si>
  <si>
    <t xml:space="preserve">Post a job: skills read, checked, published</t>
  </si>
  <si>
    <t xml:space="preserve">Employer writes an ad, checks the skills, publishes</t>
  </si>
  <si>
    <t xml:space="preserve">Skills saved; what the employer changed is recorded</t>
  </si>
  <si>
    <t xml:space="preserve">pytest 21 Oct (137 passed): test_extraction_records.py::test_employer_read_then_publish_records_their_changes</t>
  </si>
  <si>
    <t xml:space="preserve">TC-37</t>
  </si>
  <si>
    <t xml:space="preserve">Decision date set and moved once</t>
  </si>
  <si>
    <t xml:space="preserve">Post with 'Decide by'; move it twice</t>
  </si>
  <si>
    <t xml:space="preserve">Set; moved once with a reason; second move refused</t>
  </si>
  <si>
    <t xml:space="preserve">pytest 21 Oct (137 passed): test_transparency.py::test_decision_date_is_set_when_posting_and_moved_once</t>
  </si>
  <si>
    <t xml:space="preserve">TC-38</t>
  </si>
  <si>
    <t xml:space="preserve">Shortlist, undo, reject, correct</t>
  </si>
  <si>
    <t xml:space="preserve">Change an applicant's status several times</t>
  </si>
  <si>
    <t xml:space="preserve">Each change recorded; Undo restores the previous status</t>
  </si>
  <si>
    <t xml:space="preserve">pytest 21 Oct (137 passed): test_applications.py::test_shortlist_back_and_again_then_reject_then_correct, test_undo_restores_the_previous_status_from_history; Playwright 22 Oct (13 passed, docs/evidence/e2e/run_2026-10-22.txt): 2-employer.spec.js; screenshot docs/evidence/e2e/TC-38_student_sees_shortlisted.png</t>
  </si>
  <si>
    <t xml:space="preserve">TC-39</t>
  </si>
  <si>
    <t xml:space="preserve">Not selected with a reason</t>
  </si>
  <si>
    <t xml:space="preserve">Reject with 'missing skills'</t>
  </si>
  <si>
    <t xml:space="preserve">Student sees the reason and her own missing skills</t>
  </si>
  <si>
    <t xml:space="preserve">pytest 21 Oct (137 passed): test_transparency.py::test_not_selected_with_a_reason_the_student_sees</t>
  </si>
  <si>
    <t xml:space="preserve">TC-40</t>
  </si>
  <si>
    <t xml:space="preserve">Several Not selected at once</t>
  </si>
  <si>
    <t xml:space="preserve">Tick several, one of them another employer's</t>
  </si>
  <si>
    <t xml:space="preserve">All or nothing: refused, nothing changed</t>
  </si>
  <si>
    <t xml:space="preserve">pytest 21 Oct (137 passed): test_transparency.py::test_several_at_once_all_or_nothing</t>
  </si>
  <si>
    <t xml:space="preserve">TC-41</t>
  </si>
  <si>
    <t xml:space="preserve">Several Shortlisted at once</t>
  </si>
  <si>
    <t xml:space="preserve">Tick 3 (one already Accepted), Shortlist</t>
  </si>
  <si>
    <t xml:space="preserve">Only the 2 at Applied move; contact details then shown</t>
  </si>
  <si>
    <t xml:space="preserve">pytest 21 Oct (137 passed): test_transparency.py::test_shortlist_several_only_moves_those_at_applied</t>
  </si>
  <si>
    <t xml:space="preserve">TC-42</t>
  </si>
  <si>
    <t xml:space="preserve">Contact details only after shortlisting</t>
  </si>
  <si>
    <t xml:space="preserve">Open an applicant before and after shortlisting</t>
  </si>
  <si>
    <t xml:space="preserve">Email and phone hidden, then shown</t>
  </si>
  <si>
    <t xml:space="preserve">pytest 21 Oct (137 passed): test_invitations.py::test_contact_details_only_after_shortlisting; Playwright 22 Oct (13 passed, docs/evidence/e2e/run_2026-10-22.txt): 2-employer.spec.js; screenshot docs/evidence/e2e/TC-42_shortlisted_contact.png</t>
  </si>
  <si>
    <t xml:space="preserve">TC-43</t>
  </si>
  <si>
    <t xml:space="preserve">Invite graduates who fit</t>
  </si>
  <si>
    <t xml:space="preserve">Invite a visible graduate; invite again</t>
  </si>
  <si>
    <t xml:space="preserve">Student sees the invitation; only once</t>
  </si>
  <si>
    <t xml:space="preserve">pytest 21 Oct (137 passed): test_invitations.py::test_invite_flow, test_invite_only_once_even_after_not_interested</t>
  </si>
  <si>
    <t xml:space="preserve">TC-44</t>
  </si>
  <si>
    <t xml:space="preserve">After applying, a job asks for less, not more</t>
  </si>
  <si>
    <t xml:space="preserve">Someone applied; employer adds a required skill, then removes one</t>
  </si>
  <si>
    <t xml:space="preserve">Adding refused with 'Post a new job'; removing allowed; student told what was dropped</t>
  </si>
  <si>
    <t xml:space="preserve">pytest 21 Oct (137 passed): test_edit_job.py::test_edit_changes_skills_and_keeps_locked_fields, test_after_applying_the_job_cant_ask_for_more_qualification_or_languages</t>
  </si>
  <si>
    <t xml:space="preserve">TC-45</t>
  </si>
  <si>
    <t xml:space="preserve">Edit and application at the same moment</t>
  </si>
  <si>
    <t xml:space="preserve">Save a stricter edit while a student applies, in both orders</t>
  </si>
  <si>
    <t xml:space="preserve">Application first: edit refused. Edit first: application made under the new ad (row lock)</t>
  </si>
  <si>
    <t xml:space="preserve">pytest 22 Oct (140 passed): test_edit_job.py::test_real_endpoints_application_first_then_a_stricter_edit_is_refused, test_real_endpoints_edit_first_then_the_application_is_made_under_the_new_ad (both fail without the lock)</t>
  </si>
  <si>
    <t xml:space="preserve">TC-46</t>
  </si>
  <si>
    <t xml:space="preserve">Closing a job needs a reason</t>
  </si>
  <si>
    <t xml:space="preserve">Close a job with applicants waiting</t>
  </si>
  <si>
    <t xml:space="preserve">Reason required; everyone waiting is told</t>
  </si>
  <si>
    <t xml:space="preserve">pytest 21 Oct (137 passed): test_applications.py::test_closing_needs_a_reason_and_tells_everyone_waiting</t>
  </si>
  <si>
    <t xml:space="preserve">TC-47</t>
  </si>
  <si>
    <t xml:space="preserve">Reply record shown to students</t>
  </si>
  <si>
    <t xml:space="preserve">Employer decides on time on 3 jobs</t>
  </si>
  <si>
    <t xml:space="preserve">Students see 'replied on time N of M'</t>
  </si>
  <si>
    <t xml:space="preserve">pytest 21 Oct (137 passed): test_transparency.py::test_employer_record_of_deciding_on_time</t>
  </si>
  <si>
    <t xml:space="preserve">TC-48</t>
  </si>
  <si>
    <t xml:space="preserve">Admin</t>
  </si>
  <si>
    <t xml:space="preserve">Approve an employer</t>
  </si>
  <si>
    <t xml:space="preserve">Admin approves a waiting employer</t>
  </si>
  <si>
    <t xml:space="preserve">Employer leaves 'waiting' and can post</t>
  </si>
  <si>
    <t xml:space="preserve">pytest 21 Oct (137 passed): test_admin.py::test_approve_moves_employer_out_of_waiting; Playwright 22 Oct (13 passed, docs/evidence/e2e/run_2026-10-22.txt): 3-admin.spec.js; screenshot docs/evidence/e2e/TC-48_employer_approved.png</t>
  </si>
  <si>
    <t xml:space="preserve">TC-49</t>
  </si>
  <si>
    <t xml:space="preserve">Deactivate an account</t>
  </si>
  <si>
    <t xml:space="preserve">Deactivate with and without a reason; deactivate yourself</t>
  </si>
  <si>
    <t xml:space="preserve">Reason required; can't deactivate yourself; old login stops working</t>
  </si>
  <si>
    <t xml:space="preserve">pytest 21 Oct (137 passed): test_admin.py (2 tests), test_auth.py::test_deactivated_account_old_token_stops_working</t>
  </si>
  <si>
    <t xml:space="preserve">TC-50</t>
  </si>
  <si>
    <t xml:space="preserve">Add an intake and edit its module list</t>
  </si>
  <si>
    <t xml:space="preserve">Admin adds an intake copied from the latest, edits the list</t>
  </si>
  <si>
    <t xml:space="preserve">Intake listed with its modules; other intakes unchanged</t>
  </si>
  <si>
    <t xml:space="preserve">Playwright 22 Oct (13 passed, docs/evidence/e2e/run_2026-10-22.txt): 3-admin.spec.js; screenshot docs/evidence/e2e/TC-50_intake_added.png</t>
  </si>
  <si>
    <t xml:space="preserve">APU1F2701SE added, starts 4 Jan 2027, 40 modules copied from the latest intake, marked Latest</t>
  </si>
  <si>
    <t xml:space="preserve">TC-51</t>
  </si>
  <si>
    <t xml:space="preserve">Accounts</t>
  </si>
  <si>
    <t xml:space="preserve">Sign-up rules</t>
  </si>
  <si>
    <t xml:space="preserve">Sign up without the privacy tick; as admin; same email twice; employer without company</t>
  </si>
  <si>
    <t xml:space="preserve">Each refused with a clear message</t>
  </si>
  <si>
    <t xml:space="preserve">pytest 21 Oct (137 passed): test_auth.py (4 tests); Playwright 22 Oct (13 passed, docs/evidence/e2e/run_2026-10-22.txt): 3-admin.spec.js; screenshot docs/evidence/e2e/TC-51_employer_waiting.png</t>
  </si>
  <si>
    <t xml:space="preserve">TC-52</t>
  </si>
  <si>
    <t xml:space="preserve">Wrong password refused</t>
  </si>
  <si>
    <t xml:space="preserve">Sign in with a wrong password</t>
  </si>
  <si>
    <t xml:space="preserve">Refused</t>
  </si>
  <si>
    <t xml:space="preserve">pytest 21 Oct (137 passed): test_auth.py::test_wrong_password_is_refused</t>
  </si>
  <si>
    <t xml:space="preserve">TC-53</t>
  </si>
  <si>
    <t xml:space="preserve">Forgot password</t>
  </si>
  <si>
    <t xml:space="preserve">Request a code, enter it, set a new password</t>
  </si>
  <si>
    <t xml:space="preserve">Code emailed; new password works; old one doesn't</t>
  </si>
  <si>
    <t xml:space="preserve">Needs the email settings</t>
  </si>
  <si>
    <t xml:space="preserve">TC-54</t>
  </si>
  <si>
    <t xml:space="preserve">Privacy</t>
  </si>
  <si>
    <t xml:space="preserve">Each role reaches only its own pages</t>
  </si>
  <si>
    <t xml:space="preserve">Student, employer and admin call each other's pages</t>
  </si>
  <si>
    <t xml:space="preserve">Refused (403)</t>
  </si>
  <si>
    <t xml:space="preserve">pytest 21 Oct (137 passed): test_auth.py::test_role_checks; Playwright 22 Oct (13 passed, docs/evidence/e2e/run_2026-10-22.txt): 4-access.spec.js; screenshot docs/evidence/e2e/TC-54_student_sent_to_dashboard.png</t>
  </si>
  <si>
    <t xml:space="preserve">In the browser, a student sent to her Dashboard is told "That page is for employers / the career office" (added 22 Oct).</t>
  </si>
  <si>
    <t xml:space="preserve">TC-55</t>
  </si>
  <si>
    <t xml:space="preserve">No one reaches another person's records</t>
  </si>
  <si>
    <t xml:space="preserve">Another employer opens my jobs or applicants; a student opens another's applications</t>
  </si>
  <si>
    <t xml:space="preserve">Refused (404)</t>
  </si>
  <si>
    <t xml:space="preserve">pytest 21 Oct (137 passed): test_permissions.py (2 tests)</t>
  </si>
  <si>
    <t xml:space="preserve">TC-56</t>
  </si>
  <si>
    <t xml:space="preserve">Grades, languages and CGPA only when she allows</t>
  </si>
  <si>
    <t xml:space="preserve">Switch each off and on; view as employer</t>
  </si>
  <si>
    <t xml:space="preserve">Shown only when switched on</t>
  </si>
  <si>
    <t xml:space="preserve">pytest 21 Oct (137 passed): test_permissions.py::test_grades_follow_the_students_switch, test_more_evidence.py::test_languages_and_cgpa_only_when_she_allows</t>
  </si>
  <si>
    <t xml:space="preserve">TC-57</t>
  </si>
  <si>
    <t xml:space="preserve">Download my data</t>
  </si>
  <si>
    <t xml:space="preserve">Student downloads her data</t>
  </si>
  <si>
    <t xml:space="preserve">Every field of her rows included</t>
  </si>
  <si>
    <t xml:space="preserve">pytest 21 Oct (137 passed): test_personal_data.py::test_download_has_every_field_of_my_rows</t>
  </si>
  <si>
    <t xml:space="preserve">TC-58</t>
  </si>
  <si>
    <t xml:space="preserve">Delete my account</t>
  </si>
  <si>
    <t xml:space="preserve">Student deletes her account (and retry after a failure)</t>
  </si>
  <si>
    <t xml:space="preserve">All her data removed; nothing deleted if chat history can't be reached</t>
  </si>
  <si>
    <t xml:space="preserve">pytest 21 Oct (137 passed): test_delete_account.py (3 tests), test_audit_fixes.py::test_delete_can_be_retried_after_postgres_fails</t>
  </si>
  <si>
    <t xml:space="preserve">TC-59</t>
  </si>
  <si>
    <t xml:space="preserve">Updated privacy notice</t>
  </si>
  <si>
    <t xml:space="preserve">Student on the 14 Oct notice signs in</t>
  </si>
  <si>
    <t xml:space="preserve">Pop-up says what changed; agreeing records the 21 Oct version</t>
  </si>
  <si>
    <t xml:space="preserve">pytest 21 Oct (137 passed): test_more_evidence.py::test_someone_on_the_old_notice_can_agree_to_the_new_one</t>
  </si>
  <si>
    <t xml:space="preserve">TC-60</t>
  </si>
  <si>
    <t xml:space="preserve">Install and reliability</t>
  </si>
  <si>
    <t xml:space="preserve">Fresh install</t>
  </si>
  <si>
    <t xml:space="preserve">Start the API on an empty database, run the data migrations</t>
  </si>
  <si>
    <t xml:space="preserve">Starts; programmes, modules and intakes present</t>
  </si>
  <si>
    <t xml:space="preserve">pytest 21 Oct (137 passed): test_install.py (3 tests)</t>
  </si>
  <si>
    <t xml:space="preserve">TC-61</t>
  </si>
  <si>
    <t xml:space="preserve">Migrations safe to repeat; outdated database named</t>
  </si>
  <si>
    <t xml:space="preserve">Run every migration twice; start with one migration missing</t>
  </si>
  <si>
    <t xml:space="preserve">No errors; start-up names the missing migration</t>
  </si>
  <si>
    <t xml:space="preserve">pytest 21 Oct (137 passed): test_install.py::test_every_migration_is_safe_to_run_again, test_audit_fixes.py::test_a_database_one_migration_behind_is_named_then_upgraded</t>
  </si>
  <si>
    <t xml:space="preserve">TC-62</t>
  </si>
  <si>
    <t xml:space="preserve">MongoDB down</t>
  </si>
  <si>
    <t xml:space="preserve">Stop MongoDB, use the app</t>
  </si>
  <si>
    <t xml:space="preserve">Everything works; records reported 'not saved'</t>
  </si>
  <si>
    <t xml:space="preserve">pytest 21 Oct (137 passed): test_extraction_records.py::test_mongodb_down_never_blocks_and_pauses_retries</t>
  </si>
  <si>
    <t xml:space="preserve">TC-63</t>
  </si>
  <si>
    <t xml:space="preserve">GitHub down</t>
  </si>
  <si>
    <t xml:space="preserve">GitHub unreachable while linking a project</t>
  </si>
  <si>
    <t xml:space="preserve">No stale badge shown</t>
  </si>
  <si>
    <t xml:space="preserve">pytest 21 Oct (137 passed): test_github_connect.py::test_github_down_never_shows_an_old_badge_on_a_new_link</t>
  </si>
  <si>
    <t xml:space="preserve">TC-64</t>
  </si>
  <si>
    <t xml:space="preserve">Skill reader down while posting</t>
  </si>
  <si>
    <t xml:space="preserve">AI unavailable when reading an ad</t>
  </si>
  <si>
    <t xml:space="preserve">Clear message; employer can add skills by hand</t>
  </si>
  <si>
    <t xml:space="preserve">Stop the Groq key / network, then post</t>
  </si>
  <si>
    <t xml:space="preserve">TC-65</t>
  </si>
  <si>
    <t xml:space="preserve">Non-functional</t>
  </si>
  <si>
    <t xml:space="preserve">Security: known library holes</t>
  </si>
  <si>
    <t xml:space="preserve">Run pip-audit (backend) and npm audit (frontend)</t>
  </si>
  <si>
    <t xml:space="preserve">No high or critical issues left unexplained</t>
  </si>
  <si>
    <t xml:space="preserve">Tool: npm audit + pip-audit</t>
  </si>
  <si>
    <t xml:space="preserve">docs/evidence/security/: npm_audit_2026-10-22_before/after.txt, pip_audit_2026-10-22_before/after.txt</t>
  </si>
  <si>
    <t xml:space="preserve">Before: frontend 3 high, backend 58 advisories in 6 packages. After: 0 and 0 (upgrades; python-jose replaced by PyJWT). 140 pytest + 13 browser tests pass after the changes</t>
  </si>
  <si>
    <t xml:space="preserve">TC-66</t>
  </si>
  <si>
    <t xml:space="preserve">Accessibility</t>
  </si>
  <si>
    <t xml:space="preserve">Lighthouse (desktop, Accessibility) on every page of every role: 4 by hand in Chrome DevTools, all 33 by frontend/scripts/lighthouse_all.mjs; axe-core scan of 33 pages, pop-ups and forms (5-accessibility.spec.js); Job Matches and View applicants with the keyboard only</t>
  </si>
  <si>
    <t xml:space="preserve">No serious accessibility problems left; Lighthouse accessibility score recorded</t>
  </si>
  <si>
    <t xml:space="preserve">Tool: Lighthouse + axe-core scan (Playwright) + keyboard tests</t>
  </si>
  <si>
    <t xml:space="preserve">docs/evidence/lighthouse/ (4 by hand) and lighthouse/all/ (33 + summary.md); docs/evidence/e2e/accessibility.json and accessibility_before_2026-10-22.md; 5-accessibility.spec.js (17 passed)</t>
  </si>
  <si>
    <t xml:space="preserve">Lighthouse accessibility 100 on 33 of 33 pages (Sign in was 93 before the fixes). axe-core, WCAG 2.2 AA + best practice: 0 problems on 33 pages and states (before: low contrast on 17 pages, unlabelled tick boxes and form fields, links shown by colour only, small buttons, missing landmarks). Job and applicant lists open with Tab + Enter. The all-pages run also found a crash on a malformed link (fixed, browser test added)</t>
  </si>
  <si>
    <t xml:space="preserve">23 Oct 2026</t>
  </si>
  <si>
    <t xml:space="preserve">TC-67</t>
  </si>
  <si>
    <t xml:space="preserve">Runs the same in Docker</t>
  </si>
  <si>
    <t xml:space="preserve">Build the Docker images, run the tests inside</t>
  </si>
  <si>
    <t xml:space="preserve">Same results as on the laptop</t>
  </si>
  <si>
    <t xml:space="preserve">Tool (step 5)</t>
  </si>
  <si>
    <t xml:space="preserve">TC-68</t>
  </si>
  <si>
    <t xml:space="preserve">Works in other browsers</t>
  </si>
  <si>
    <t xml:space="preserve">Run the 17 browser tests in Chromium, Google Chrome, Microsoft Edge, Firefox and WebKit (Safari's engine): frontend/scripts/all_browsers.sh</t>
  </si>
  <si>
    <t xml:space="preserve">All tests pass in each browser; applying confirmed within 1 s (Google RAIL)</t>
  </si>
  <si>
    <t xml:space="preserve">Playwright E2E (5 browsers)</t>
  </si>
  <si>
    <t xml:space="preserve">docs/evidence/e2e/run_2026-10-23.txt and firefox/, webkit/, edge/, chrome/ (run logs, results, screenshots, accessibility scans)</t>
  </si>
  <si>
    <t xml:space="preserve">17 of 17 in every browser. Click to "Applied": Chromium 164 ms, Firefox 186 ms, WebKit 413 ms, Edge 163 ms, Chrome 159 ms. In WebKit the keyboard tests focus the link directly (WebKit, like Safari, leaves links out of Tab by default)</t>
  </si>
  <si>
    <t xml:space="preserve">Not tested on real Safari (no Mac); WebKit is its engine. Phones and tablets out of scope (designed for laptops)</t>
  </si>
  <si>
    <t xml:space="preserve">TC-69</t>
  </si>
  <si>
    <t xml:space="preserve">MongoDB for real</t>
  </si>
  <si>
    <t xml:space="preserve">With MongoDB running: python -m pytest tests/test_mongodb_real.py (a separate skillmap_test database)</t>
  </si>
  <si>
    <t xml:space="preserve">Indexes incl. the 18-month expiry exist; a chat is saved, listed, reopened, continued and deleted; another student can't reach it; Download my data and Delete my account cover MongoDB; an evaluation run is saved and read back</t>
  </si>
  <si>
    <t xml:space="preserve">Automated (real MongoDB server)</t>
  </si>
  <si>
    <t xml:space="preserve">pytest 23 Oct (176 passed): docs/evidence/tests/pytest_2026-10-23.txt, tests/test_mongodb_real.py</t>
  </si>
  <si>
    <t xml:space="preserve">As expected: 4 of 4 against the real server</t>
  </si>
  <si>
    <t xml:space="preserve">Skipped with a message when MongoDB is off; the other tests use stand-ins</t>
  </si>
  <si>
    <t xml:space="preserve">SkillMap system testing — summary</t>
  </si>
  <si>
    <t xml:space="preserve">Counts update from the Status column of 'Test cases'.</t>
  </si>
  <si>
    <t xml:space="preserve">Total</t>
  </si>
  <si>
    <t xml:space="preserve">Fail</t>
  </si>
  <si>
    <t xml:space="preserve">By IR objective</t>
  </si>
  <si>
    <t xml:space="preserve">1. Academic skill extraction</t>
  </si>
  <si>
    <t xml:space="preserve">2. Job recommendation</t>
  </si>
  <si>
    <t xml:space="preserve">3. Explainable skill gap</t>
  </si>
  <si>
    <t xml:space="preserve">4. AI chatbot</t>
  </si>
  <si>
    <t xml:space="preserve">How to use this sheet</t>
  </si>
  <si>
    <t xml:space="preserve">Each row is one system test: what you do (Steps) and what should happen (Expected result).</t>
  </si>
  <si>
    <t xml:space="preserve">Fill in only these columns as you test: Actual result, Status (Pass / Fail / Not run, from the list), Date tested, Notes.</t>
  </si>
  <si>
    <t xml:space="preserve">Automated rows were run on 21 Oct 2026 on Windows: 137 passed (docs/evidence/tests/pytest_2026-10-21b.txt). Re-run pytest after any change and update the date.</t>
  </si>
  <si>
    <t xml:space="preserve">Evaluation rows come from the evaluation runs (docs/evidence/ and MongoDB evaluation_runs).</t>
  </si>
  <si>
    <t xml:space="preserve">'Playwright E2E (step 2)' rows will be run by the browser scripts; 'Manual' rows by hand; 'Tool' rows in steps 3-5.</t>
  </si>
  <si>
    <t xml:space="preserve">If a test fails: set Status to Fail, write what happened in Actual result, and note the fix or bug in Notes.</t>
  </si>
  <si>
    <t xml:space="preserve">Example of a filled row: TC-01 · Actual: 'Python shown with Module: Python Programming (A)' · Status: Pass · Date: 23 Oct 2026.</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</si>
</sst>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0"/>
      <name val="Arial"/>
      <family val="0"/>
      <charset val="1"/>
    </font>
    <font>
      <b val="true"/>
      <sz val="13"/>
      <name val="Arial"/>
      <family val="0"/>
      <charset val="1"/>
    </font>
    <font>
      <i val="true"/>
      <sz val="10"/>
      <name val="Arial"/>
      <family val="0"/>
      <charset val="1"/>
    </font>
    <font>
      <b val="true"/>
      <sz val="12"/>
      <name val="Arial"/>
      <family val="0"/>
      <charset val="1"/>
    </font>
  </fonts>
  <fills count="3">
    <fill>
      <patternFill patternType="none"/>
    </fill>
    <fill>
      <patternFill patternType="gray125"/>
    </fill>
    <fill>
      <patternFill patternType="solid">
        <fgColor rgb="FFE7E6E6"/>
        <bgColor rgb="FFFFFFCC"/>
      </patternFill>
    </fill>
  </fills>
  <borders count="3">
    <border diagonalUp="false" diagonalDown="false">
      <left/>
      <right/>
      <top/>
      <bottom/>
      <diagonal/>
    </border>
    <border diagonalUp="false" diagonalDown="false">
      <left/>
      <right/>
      <top/>
      <bottom style="medium"/>
      <diagonal/>
    </border>
    <border diagonalUp="false" diagonalDown="false">
      <left/>
      <right/>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E7E6E6"/>
          <bgColor rgb="FF000000"/>
        </patternFill>
      </fill>
    </dxf>
    <dxf>
      <fill>
        <patternFill patternType="solid">
          <bgColor rgb="FF000000"/>
        </patternFill>
      </fill>
    </dxf>
    <dxf>
      <font>
        <name val="Arial"/>
        <charset val="1"/>
        <family val="0"/>
        <b val="1"/>
        <color rgb="FFC00000"/>
      </font>
    </dxf>
    <dxf>
      <font>
        <name val="Arial"/>
        <charset val="1"/>
        <family val="0"/>
        <b val="1"/>
      </font>
    </dxf>
  </dxfs>
  <colors>
    <indexedColors>
      <rgbColor rgb="FF000000"/>
      <rgbColor rgb="FFE7E6E6"/>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7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10"/>
    <col collapsed="false" customWidth="true" hidden="false" outlineLevel="0" max="4" min="4" style="1" width="30"/>
    <col collapsed="false" customWidth="true" hidden="false" outlineLevel="0" max="5" min="5" style="1" width="40"/>
    <col collapsed="false" customWidth="true" hidden="false" outlineLevel="0" max="6" min="6" style="1" width="42"/>
    <col collapsed="false" customWidth="true" hidden="false" outlineLevel="0" max="7" min="7" style="1" width="16"/>
    <col collapsed="false" customWidth="true" hidden="false" outlineLevel="0" max="8" min="8" style="1" width="46"/>
    <col collapsed="false" customWidth="true" hidden="false" outlineLevel="0" max="9" min="9" style="1" width="30"/>
    <col collapsed="false" customWidth="true" hidden="false" outlineLevel="0" max="10" min="10" style="1" width="10"/>
    <col collapsed="false" customWidth="true" hidden="false" outlineLevel="0" max="11" min="11" style="1" width="13"/>
    <col collapsed="false" customWidth="true" hidden="false" outlineLevel="0" max="12" min="12" style="1" width="24"/>
  </cols>
  <sheetData>
    <row r="1" customFormat="false" ht="39" hidden="false" customHeight="true" outlineLevel="0" collapsed="false">
      <c r="A1" s="2" t="s">
        <v>0</v>
      </c>
      <c r="B1" s="2" t="s">
        <v>1</v>
      </c>
      <c r="C1" s="2" t="s">
        <v>2</v>
      </c>
      <c r="D1" s="2" t="s">
        <v>3</v>
      </c>
      <c r="E1" s="2" t="s">
        <v>4</v>
      </c>
      <c r="F1" s="2" t="s">
        <v>5</v>
      </c>
      <c r="G1" s="2" t="s">
        <v>6</v>
      </c>
      <c r="H1" s="2" t="s">
        <v>7</v>
      </c>
      <c r="I1" s="2" t="s">
        <v>8</v>
      </c>
      <c r="J1" s="2" t="s">
        <v>9</v>
      </c>
      <c r="K1" s="2" t="s">
        <v>10</v>
      </c>
      <c r="L1" s="2" t="s">
        <v>11</v>
      </c>
    </row>
    <row r="2" customFormat="false" ht="23.25" hidden="false" customHeight="true" outlineLevel="0" collapsed="false">
      <c r="A2" s="3" t="s">
        <v>12</v>
      </c>
      <c r="B2" s="3" t="s">
        <v>13</v>
      </c>
      <c r="C2" s="3" t="s">
        <v>14</v>
      </c>
      <c r="D2" s="3" t="s">
        <v>15</v>
      </c>
      <c r="E2" s="3" t="s">
        <v>16</v>
      </c>
      <c r="F2" s="3" t="s">
        <v>17</v>
      </c>
      <c r="G2" s="3" t="s">
        <v>18</v>
      </c>
      <c r="H2" s="3" t="s">
        <v>19</v>
      </c>
      <c r="I2" s="3" t="s">
        <v>20</v>
      </c>
      <c r="J2" s="3" t="s">
        <v>21</v>
      </c>
      <c r="K2" s="3" t="s">
        <v>22</v>
      </c>
      <c r="L2" s="3"/>
    </row>
    <row r="3" customFormat="false" ht="23.25" hidden="false" customHeight="true" outlineLevel="0" collapsed="false">
      <c r="A3" s="3" t="s">
        <v>23</v>
      </c>
      <c r="B3" s="3" t="s">
        <v>13</v>
      </c>
      <c r="C3" s="3" t="s">
        <v>14</v>
      </c>
      <c r="D3" s="3" t="s">
        <v>24</v>
      </c>
      <c r="E3" s="3" t="s">
        <v>25</v>
      </c>
      <c r="F3" s="3" t="s">
        <v>26</v>
      </c>
      <c r="G3" s="3" t="s">
        <v>27</v>
      </c>
      <c r="H3" s="3" t="s">
        <v>28</v>
      </c>
      <c r="I3" s="3" t="s">
        <v>29</v>
      </c>
      <c r="J3" s="3" t="s">
        <v>21</v>
      </c>
      <c r="K3" s="3" t="s">
        <v>30</v>
      </c>
      <c r="L3" s="3"/>
    </row>
    <row r="4" customFormat="false" ht="34.5" hidden="false" customHeight="true" outlineLevel="0" collapsed="false">
      <c r="A4" s="3" t="s">
        <v>31</v>
      </c>
      <c r="B4" s="3" t="s">
        <v>13</v>
      </c>
      <c r="C4" s="3" t="s">
        <v>14</v>
      </c>
      <c r="D4" s="3" t="s">
        <v>32</v>
      </c>
      <c r="E4" s="3" t="s">
        <v>33</v>
      </c>
      <c r="F4" s="3" t="s">
        <v>34</v>
      </c>
      <c r="G4" s="3" t="s">
        <v>27</v>
      </c>
      <c r="H4" s="3" t="s">
        <v>35</v>
      </c>
      <c r="I4" s="3" t="s">
        <v>29</v>
      </c>
      <c r="J4" s="3" t="s">
        <v>21</v>
      </c>
      <c r="K4" s="3" t="s">
        <v>30</v>
      </c>
      <c r="L4" s="3"/>
    </row>
    <row r="5" customFormat="false" ht="34.5" hidden="false" customHeight="true" outlineLevel="0" collapsed="false">
      <c r="A5" s="3" t="s">
        <v>36</v>
      </c>
      <c r="B5" s="3" t="s">
        <v>13</v>
      </c>
      <c r="C5" s="3" t="s">
        <v>14</v>
      </c>
      <c r="D5" s="3" t="s">
        <v>37</v>
      </c>
      <c r="E5" s="3" t="s">
        <v>38</v>
      </c>
      <c r="F5" s="3" t="s">
        <v>39</v>
      </c>
      <c r="G5" s="3" t="s">
        <v>27</v>
      </c>
      <c r="H5" s="3" t="s">
        <v>40</v>
      </c>
      <c r="I5" s="3" t="s">
        <v>29</v>
      </c>
      <c r="J5" s="3" t="s">
        <v>21</v>
      </c>
      <c r="K5" s="3" t="s">
        <v>30</v>
      </c>
      <c r="L5" s="3"/>
    </row>
    <row r="6" customFormat="false" ht="23.25" hidden="false" customHeight="true" outlineLevel="0" collapsed="false">
      <c r="A6" s="3" t="s">
        <v>41</v>
      </c>
      <c r="B6" s="3" t="s">
        <v>13</v>
      </c>
      <c r="C6" s="3" t="s">
        <v>14</v>
      </c>
      <c r="D6" s="3" t="s">
        <v>42</v>
      </c>
      <c r="E6" s="3" t="s">
        <v>43</v>
      </c>
      <c r="F6" s="3" t="s">
        <v>44</v>
      </c>
      <c r="G6" s="3" t="s">
        <v>45</v>
      </c>
      <c r="H6" s="3" t="s">
        <v>46</v>
      </c>
      <c r="I6" s="3" t="s">
        <v>29</v>
      </c>
      <c r="J6" s="3" t="s">
        <v>21</v>
      </c>
      <c r="K6" s="3" t="s">
        <v>30</v>
      </c>
      <c r="L6" s="3"/>
    </row>
    <row r="7" customFormat="false" ht="23.25" hidden="false" customHeight="true" outlineLevel="0" collapsed="false">
      <c r="A7" s="3" t="s">
        <v>47</v>
      </c>
      <c r="B7" s="3" t="s">
        <v>13</v>
      </c>
      <c r="C7" s="3" t="s">
        <v>14</v>
      </c>
      <c r="D7" s="3" t="s">
        <v>48</v>
      </c>
      <c r="E7" s="3" t="s">
        <v>49</v>
      </c>
      <c r="F7" s="3" t="s">
        <v>50</v>
      </c>
      <c r="G7" s="3" t="s">
        <v>45</v>
      </c>
      <c r="H7" s="3" t="s">
        <v>51</v>
      </c>
      <c r="I7" s="3" t="s">
        <v>29</v>
      </c>
      <c r="J7" s="3" t="s">
        <v>21</v>
      </c>
      <c r="K7" s="3" t="s">
        <v>30</v>
      </c>
      <c r="L7" s="3"/>
    </row>
    <row r="8" customFormat="false" ht="34.5" hidden="false" customHeight="true" outlineLevel="0" collapsed="false">
      <c r="A8" s="3" t="s">
        <v>52</v>
      </c>
      <c r="B8" s="3" t="s">
        <v>53</v>
      </c>
      <c r="C8" s="3" t="s">
        <v>14</v>
      </c>
      <c r="D8" s="3" t="s">
        <v>54</v>
      </c>
      <c r="E8" s="3" t="s">
        <v>55</v>
      </c>
      <c r="F8" s="3" t="s">
        <v>56</v>
      </c>
      <c r="G8" s="3" t="s">
        <v>27</v>
      </c>
      <c r="H8" s="3" t="s">
        <v>57</v>
      </c>
      <c r="I8" s="3" t="s">
        <v>29</v>
      </c>
      <c r="J8" s="3" t="s">
        <v>21</v>
      </c>
      <c r="K8" s="3" t="s">
        <v>30</v>
      </c>
      <c r="L8" s="3"/>
    </row>
    <row r="9" customFormat="false" ht="34.5" hidden="false" customHeight="true" outlineLevel="0" collapsed="false">
      <c r="A9" s="3" t="s">
        <v>58</v>
      </c>
      <c r="B9" s="3" t="s">
        <v>53</v>
      </c>
      <c r="C9" s="3" t="s">
        <v>14</v>
      </c>
      <c r="D9" s="3" t="s">
        <v>59</v>
      </c>
      <c r="E9" s="3" t="s">
        <v>60</v>
      </c>
      <c r="F9" s="3" t="s">
        <v>61</v>
      </c>
      <c r="G9" s="3" t="s">
        <v>27</v>
      </c>
      <c r="H9" s="3" t="s">
        <v>62</v>
      </c>
      <c r="I9" s="3" t="s">
        <v>29</v>
      </c>
      <c r="J9" s="3" t="s">
        <v>21</v>
      </c>
      <c r="K9" s="3" t="s">
        <v>30</v>
      </c>
      <c r="L9" s="3"/>
    </row>
    <row r="10" customFormat="false" ht="57" hidden="false" customHeight="true" outlineLevel="0" collapsed="false">
      <c r="A10" s="3" t="s">
        <v>63</v>
      </c>
      <c r="B10" s="3" t="s">
        <v>53</v>
      </c>
      <c r="C10" s="3" t="s">
        <v>14</v>
      </c>
      <c r="D10" s="3" t="s">
        <v>64</v>
      </c>
      <c r="E10" s="3" t="s">
        <v>65</v>
      </c>
      <c r="F10" s="3" t="s">
        <v>66</v>
      </c>
      <c r="G10" s="3" t="s">
        <v>27</v>
      </c>
      <c r="H10" s="3" t="s">
        <v>67</v>
      </c>
      <c r="I10" s="3" t="s">
        <v>29</v>
      </c>
      <c r="J10" s="3" t="s">
        <v>21</v>
      </c>
      <c r="K10" s="3" t="s">
        <v>30</v>
      </c>
      <c r="L10" s="3"/>
    </row>
    <row r="11" customFormat="false" ht="23.25" hidden="false" customHeight="true" outlineLevel="0" collapsed="false">
      <c r="A11" s="3" t="s">
        <v>68</v>
      </c>
      <c r="B11" s="3" t="s">
        <v>53</v>
      </c>
      <c r="C11" s="3" t="s">
        <v>14</v>
      </c>
      <c r="D11" s="3" t="s">
        <v>69</v>
      </c>
      <c r="E11" s="3" t="s">
        <v>70</v>
      </c>
      <c r="F11" s="3" t="s">
        <v>71</v>
      </c>
      <c r="G11" s="3" t="s">
        <v>18</v>
      </c>
      <c r="H11" s="3" t="s">
        <v>72</v>
      </c>
      <c r="I11" s="3" t="s">
        <v>73</v>
      </c>
      <c r="J11" s="3" t="s">
        <v>21</v>
      </c>
      <c r="K11" s="3" t="s">
        <v>22</v>
      </c>
      <c r="L11" s="3"/>
    </row>
    <row r="12" customFormat="false" ht="23.25" hidden="false" customHeight="true" outlineLevel="0" collapsed="false">
      <c r="A12" s="3" t="s">
        <v>74</v>
      </c>
      <c r="B12" s="3" t="s">
        <v>75</v>
      </c>
      <c r="C12" s="3" t="s">
        <v>76</v>
      </c>
      <c r="D12" s="3" t="s">
        <v>77</v>
      </c>
      <c r="E12" s="3" t="s">
        <v>78</v>
      </c>
      <c r="F12" s="3" t="s">
        <v>79</v>
      </c>
      <c r="G12" s="3" t="s">
        <v>18</v>
      </c>
      <c r="H12" s="3" t="s">
        <v>80</v>
      </c>
      <c r="I12" s="3" t="s">
        <v>81</v>
      </c>
      <c r="J12" s="3" t="s">
        <v>21</v>
      </c>
      <c r="K12" s="3" t="s">
        <v>22</v>
      </c>
      <c r="L12" s="3"/>
    </row>
    <row r="13" customFormat="false" ht="23.25" hidden="false" customHeight="true" outlineLevel="0" collapsed="false">
      <c r="A13" s="3" t="s">
        <v>82</v>
      </c>
      <c r="B13" s="3" t="s">
        <v>75</v>
      </c>
      <c r="C13" s="3" t="s">
        <v>76</v>
      </c>
      <c r="D13" s="3" t="s">
        <v>83</v>
      </c>
      <c r="E13" s="3" t="s">
        <v>84</v>
      </c>
      <c r="F13" s="3" t="s">
        <v>85</v>
      </c>
      <c r="G13" s="3" t="s">
        <v>45</v>
      </c>
      <c r="H13" s="3" t="s">
        <v>86</v>
      </c>
      <c r="I13" s="3" t="s">
        <v>29</v>
      </c>
      <c r="J13" s="3" t="s">
        <v>21</v>
      </c>
      <c r="K13" s="3" t="s">
        <v>30</v>
      </c>
      <c r="L13" s="3"/>
    </row>
    <row r="14" customFormat="false" ht="23.25" hidden="false" customHeight="true" outlineLevel="0" collapsed="false">
      <c r="A14" s="3" t="s">
        <v>87</v>
      </c>
      <c r="B14" s="3" t="s">
        <v>75</v>
      </c>
      <c r="C14" s="3" t="s">
        <v>76</v>
      </c>
      <c r="D14" s="3" t="s">
        <v>88</v>
      </c>
      <c r="E14" s="3" t="s">
        <v>89</v>
      </c>
      <c r="F14" s="3" t="s">
        <v>90</v>
      </c>
      <c r="G14" s="3" t="s">
        <v>45</v>
      </c>
      <c r="H14" s="3" t="s">
        <v>91</v>
      </c>
      <c r="I14" s="3" t="s">
        <v>29</v>
      </c>
      <c r="J14" s="3" t="s">
        <v>21</v>
      </c>
      <c r="K14" s="3" t="s">
        <v>30</v>
      </c>
      <c r="L14" s="3"/>
    </row>
    <row r="15" customFormat="false" ht="34.5" hidden="false" customHeight="true" outlineLevel="0" collapsed="false">
      <c r="A15" s="3" t="s">
        <v>92</v>
      </c>
      <c r="B15" s="3" t="s">
        <v>75</v>
      </c>
      <c r="C15" s="3" t="s">
        <v>76</v>
      </c>
      <c r="D15" s="3" t="s">
        <v>93</v>
      </c>
      <c r="E15" s="3" t="s">
        <v>94</v>
      </c>
      <c r="F15" s="3" t="s">
        <v>95</v>
      </c>
      <c r="G15" s="3" t="s">
        <v>27</v>
      </c>
      <c r="H15" s="3" t="s">
        <v>96</v>
      </c>
      <c r="I15" s="3" t="s">
        <v>29</v>
      </c>
      <c r="J15" s="3" t="s">
        <v>21</v>
      </c>
      <c r="K15" s="3" t="s">
        <v>30</v>
      </c>
      <c r="L15" s="3"/>
    </row>
    <row r="16" customFormat="false" ht="23.25" hidden="false" customHeight="true" outlineLevel="0" collapsed="false">
      <c r="A16" s="3" t="s">
        <v>97</v>
      </c>
      <c r="B16" s="3" t="s">
        <v>75</v>
      </c>
      <c r="C16" s="3" t="s">
        <v>76</v>
      </c>
      <c r="D16" s="3" t="s">
        <v>98</v>
      </c>
      <c r="E16" s="3" t="s">
        <v>99</v>
      </c>
      <c r="F16" s="3" t="s">
        <v>100</v>
      </c>
      <c r="G16" s="3" t="s">
        <v>27</v>
      </c>
      <c r="H16" s="3" t="s">
        <v>101</v>
      </c>
      <c r="I16" s="3" t="s">
        <v>29</v>
      </c>
      <c r="J16" s="3" t="s">
        <v>21</v>
      </c>
      <c r="K16" s="3" t="s">
        <v>30</v>
      </c>
      <c r="L16" s="3"/>
    </row>
    <row r="17" customFormat="false" ht="23.25" hidden="false" customHeight="true" outlineLevel="0" collapsed="false">
      <c r="A17" s="3" t="s">
        <v>102</v>
      </c>
      <c r="B17" s="3" t="s">
        <v>103</v>
      </c>
      <c r="C17" s="3" t="s">
        <v>104</v>
      </c>
      <c r="D17" s="3" t="s">
        <v>105</v>
      </c>
      <c r="E17" s="3" t="s">
        <v>106</v>
      </c>
      <c r="F17" s="3" t="s">
        <v>107</v>
      </c>
      <c r="G17" s="3" t="s">
        <v>18</v>
      </c>
      <c r="H17" s="3" t="s">
        <v>108</v>
      </c>
      <c r="I17" s="3" t="s">
        <v>109</v>
      </c>
      <c r="J17" s="3" t="s">
        <v>21</v>
      </c>
      <c r="K17" s="3" t="s">
        <v>22</v>
      </c>
      <c r="L17" s="3"/>
    </row>
    <row r="18" customFormat="false" ht="34.5" hidden="false" customHeight="true" outlineLevel="0" collapsed="false">
      <c r="A18" s="3" t="s">
        <v>110</v>
      </c>
      <c r="B18" s="3" t="s">
        <v>103</v>
      </c>
      <c r="C18" s="3" t="s">
        <v>104</v>
      </c>
      <c r="D18" s="3" t="s">
        <v>111</v>
      </c>
      <c r="E18" s="3" t="s">
        <v>112</v>
      </c>
      <c r="F18" s="3" t="s">
        <v>113</v>
      </c>
      <c r="G18" s="3" t="s">
        <v>27</v>
      </c>
      <c r="H18" s="3" t="s">
        <v>114</v>
      </c>
      <c r="I18" s="3" t="s">
        <v>29</v>
      </c>
      <c r="J18" s="3" t="s">
        <v>21</v>
      </c>
      <c r="K18" s="3" t="s">
        <v>30</v>
      </c>
      <c r="L18" s="3"/>
    </row>
    <row r="19" customFormat="false" ht="34.5" hidden="false" customHeight="true" outlineLevel="0" collapsed="false">
      <c r="A19" s="3" t="s">
        <v>115</v>
      </c>
      <c r="B19" s="3" t="s">
        <v>103</v>
      </c>
      <c r="C19" s="3" t="s">
        <v>104</v>
      </c>
      <c r="D19" s="3" t="s">
        <v>116</v>
      </c>
      <c r="E19" s="3" t="s">
        <v>117</v>
      </c>
      <c r="F19" s="3" t="s">
        <v>118</v>
      </c>
      <c r="G19" s="3" t="s">
        <v>27</v>
      </c>
      <c r="H19" s="3" t="s">
        <v>119</v>
      </c>
      <c r="I19" s="3" t="s">
        <v>29</v>
      </c>
      <c r="J19" s="3" t="s">
        <v>21</v>
      </c>
      <c r="K19" s="3" t="s">
        <v>30</v>
      </c>
      <c r="L19" s="3"/>
    </row>
    <row r="20" customFormat="false" ht="34.5" hidden="false" customHeight="true" outlineLevel="0" collapsed="false">
      <c r="A20" s="3" t="s">
        <v>120</v>
      </c>
      <c r="B20" s="3" t="s">
        <v>103</v>
      </c>
      <c r="C20" s="3" t="s">
        <v>104</v>
      </c>
      <c r="D20" s="3" t="s">
        <v>121</v>
      </c>
      <c r="E20" s="3" t="s">
        <v>122</v>
      </c>
      <c r="F20" s="3" t="s">
        <v>123</v>
      </c>
      <c r="G20" s="3" t="s">
        <v>27</v>
      </c>
      <c r="H20" s="3" t="s">
        <v>124</v>
      </c>
      <c r="I20" s="3" t="s">
        <v>29</v>
      </c>
      <c r="J20" s="3" t="s">
        <v>21</v>
      </c>
      <c r="K20" s="3" t="s">
        <v>30</v>
      </c>
      <c r="L20" s="3"/>
    </row>
    <row r="21" customFormat="false" ht="23.25" hidden="false" customHeight="true" outlineLevel="0" collapsed="false">
      <c r="A21" s="3" t="s">
        <v>125</v>
      </c>
      <c r="B21" s="3" t="s">
        <v>103</v>
      </c>
      <c r="C21" s="3" t="s">
        <v>104</v>
      </c>
      <c r="D21" s="3" t="s">
        <v>126</v>
      </c>
      <c r="E21" s="3" t="s">
        <v>127</v>
      </c>
      <c r="F21" s="3" t="s">
        <v>128</v>
      </c>
      <c r="G21" s="3" t="s">
        <v>27</v>
      </c>
      <c r="H21" s="3" t="s">
        <v>129</v>
      </c>
      <c r="I21" s="3" t="s">
        <v>29</v>
      </c>
      <c r="J21" s="3" t="s">
        <v>21</v>
      </c>
      <c r="K21" s="3" t="s">
        <v>30</v>
      </c>
      <c r="L21" s="3"/>
    </row>
    <row r="22" customFormat="false" ht="34.5" hidden="false" customHeight="true" outlineLevel="0" collapsed="false">
      <c r="A22" s="3" t="s">
        <v>130</v>
      </c>
      <c r="B22" s="3" t="s">
        <v>103</v>
      </c>
      <c r="C22" s="3" t="s">
        <v>104</v>
      </c>
      <c r="D22" s="3" t="s">
        <v>131</v>
      </c>
      <c r="E22" s="3" t="s">
        <v>132</v>
      </c>
      <c r="F22" s="3" t="s">
        <v>133</v>
      </c>
      <c r="G22" s="3" t="s">
        <v>27</v>
      </c>
      <c r="H22" s="3" t="s">
        <v>134</v>
      </c>
      <c r="I22" s="3" t="s">
        <v>29</v>
      </c>
      <c r="J22" s="3" t="s">
        <v>21</v>
      </c>
      <c r="K22" s="3" t="s">
        <v>30</v>
      </c>
      <c r="L22" s="3"/>
    </row>
    <row r="23" customFormat="false" ht="34.5" hidden="false" customHeight="true" outlineLevel="0" collapsed="false">
      <c r="A23" s="3" t="s">
        <v>135</v>
      </c>
      <c r="B23" s="3" t="s">
        <v>136</v>
      </c>
      <c r="C23" s="3" t="s">
        <v>137</v>
      </c>
      <c r="D23" s="3" t="s">
        <v>138</v>
      </c>
      <c r="E23" s="3" t="s">
        <v>139</v>
      </c>
      <c r="F23" s="3" t="s">
        <v>140</v>
      </c>
      <c r="G23" s="3" t="s">
        <v>27</v>
      </c>
      <c r="H23" s="3" t="s">
        <v>141</v>
      </c>
      <c r="I23" s="3" t="s">
        <v>29</v>
      </c>
      <c r="J23" s="3" t="s">
        <v>21</v>
      </c>
      <c r="K23" s="3" t="s">
        <v>30</v>
      </c>
      <c r="L23" s="3"/>
    </row>
    <row r="24" customFormat="false" ht="34.5" hidden="false" customHeight="true" outlineLevel="0" collapsed="false">
      <c r="A24" s="3" t="s">
        <v>142</v>
      </c>
      <c r="B24" s="3" t="s">
        <v>136</v>
      </c>
      <c r="C24" s="3" t="s">
        <v>137</v>
      </c>
      <c r="D24" s="3" t="s">
        <v>143</v>
      </c>
      <c r="E24" s="3" t="s">
        <v>144</v>
      </c>
      <c r="F24" s="3" t="s">
        <v>145</v>
      </c>
      <c r="G24" s="3" t="s">
        <v>27</v>
      </c>
      <c r="H24" s="3" t="s">
        <v>146</v>
      </c>
      <c r="I24" s="3" t="s">
        <v>29</v>
      </c>
      <c r="J24" s="3" t="s">
        <v>21</v>
      </c>
      <c r="K24" s="3" t="s">
        <v>30</v>
      </c>
      <c r="L24" s="3"/>
    </row>
    <row r="25" customFormat="false" ht="34.5" hidden="false" customHeight="true" outlineLevel="0" collapsed="false">
      <c r="A25" s="3" t="s">
        <v>147</v>
      </c>
      <c r="B25" s="3" t="s">
        <v>136</v>
      </c>
      <c r="C25" s="3" t="s">
        <v>137</v>
      </c>
      <c r="D25" s="3" t="s">
        <v>148</v>
      </c>
      <c r="E25" s="3" t="s">
        <v>149</v>
      </c>
      <c r="F25" s="3" t="s">
        <v>150</v>
      </c>
      <c r="G25" s="3" t="s">
        <v>27</v>
      </c>
      <c r="H25" s="3" t="s">
        <v>151</v>
      </c>
      <c r="I25" s="3" t="s">
        <v>29</v>
      </c>
      <c r="J25" s="3" t="s">
        <v>21</v>
      </c>
      <c r="K25" s="3" t="s">
        <v>30</v>
      </c>
      <c r="L25" s="3"/>
    </row>
    <row r="26" customFormat="false" ht="34.5" hidden="false" customHeight="true" outlineLevel="0" collapsed="false">
      <c r="A26" s="3" t="s">
        <v>152</v>
      </c>
      <c r="B26" s="3" t="s">
        <v>136</v>
      </c>
      <c r="C26" s="3" t="s">
        <v>137</v>
      </c>
      <c r="D26" s="3" t="s">
        <v>153</v>
      </c>
      <c r="E26" s="3" t="s">
        <v>154</v>
      </c>
      <c r="F26" s="3" t="s">
        <v>155</v>
      </c>
      <c r="G26" s="3" t="s">
        <v>27</v>
      </c>
      <c r="H26" s="3" t="s">
        <v>156</v>
      </c>
      <c r="I26" s="3" t="s">
        <v>29</v>
      </c>
      <c r="J26" s="3" t="s">
        <v>21</v>
      </c>
      <c r="K26" s="3" t="s">
        <v>30</v>
      </c>
      <c r="L26" s="3"/>
    </row>
    <row r="27" customFormat="false" ht="15" hidden="false" customHeight="true" outlineLevel="0" collapsed="false">
      <c r="A27" s="3" t="s">
        <v>157</v>
      </c>
      <c r="B27" s="3" t="s">
        <v>136</v>
      </c>
      <c r="C27" s="3" t="s">
        <v>137</v>
      </c>
      <c r="D27" s="3" t="s">
        <v>158</v>
      </c>
      <c r="E27" s="3" t="s">
        <v>159</v>
      </c>
      <c r="F27" s="3" t="s">
        <v>160</v>
      </c>
      <c r="G27" s="3" t="s">
        <v>161</v>
      </c>
      <c r="H27" s="3" t="s">
        <v>162</v>
      </c>
      <c r="I27" s="3"/>
      <c r="J27" s="3" t="s">
        <v>163</v>
      </c>
      <c r="K27" s="3"/>
      <c r="L27" s="3"/>
    </row>
    <row r="28" customFormat="false" ht="34.5" hidden="false" customHeight="true" outlineLevel="0" collapsed="false">
      <c r="A28" s="3" t="s">
        <v>164</v>
      </c>
      <c r="B28" s="3" t="s">
        <v>136</v>
      </c>
      <c r="C28" s="3" t="s">
        <v>137</v>
      </c>
      <c r="D28" s="3" t="s">
        <v>165</v>
      </c>
      <c r="E28" s="3" t="s">
        <v>166</v>
      </c>
      <c r="F28" s="3" t="s">
        <v>167</v>
      </c>
      <c r="G28" s="3" t="s">
        <v>27</v>
      </c>
      <c r="H28" s="3" t="s">
        <v>168</v>
      </c>
      <c r="I28" s="3" t="s">
        <v>29</v>
      </c>
      <c r="J28" s="3" t="s">
        <v>21</v>
      </c>
      <c r="K28" s="3" t="s">
        <v>30</v>
      </c>
      <c r="L28" s="3"/>
    </row>
    <row r="29" customFormat="false" ht="23.25" hidden="false" customHeight="true" outlineLevel="0" collapsed="false">
      <c r="A29" s="3" t="s">
        <v>169</v>
      </c>
      <c r="B29" s="3" t="s">
        <v>170</v>
      </c>
      <c r="C29" s="3" t="s">
        <v>76</v>
      </c>
      <c r="D29" s="3" t="s">
        <v>171</v>
      </c>
      <c r="E29" s="3" t="s">
        <v>172</v>
      </c>
      <c r="F29" s="3" t="s">
        <v>173</v>
      </c>
      <c r="G29" s="3" t="s">
        <v>174</v>
      </c>
      <c r="H29" s="3" t="s">
        <v>175</v>
      </c>
      <c r="I29" s="3" t="s">
        <v>29</v>
      </c>
      <c r="J29" s="3" t="s">
        <v>21</v>
      </c>
      <c r="K29" s="3" t="s">
        <v>22</v>
      </c>
      <c r="L29" s="3"/>
    </row>
    <row r="30" customFormat="false" ht="34.5" hidden="false" customHeight="true" outlineLevel="0" collapsed="false">
      <c r="A30" s="3" t="s">
        <v>176</v>
      </c>
      <c r="B30" s="3" t="s">
        <v>170</v>
      </c>
      <c r="C30" s="3" t="s">
        <v>76</v>
      </c>
      <c r="D30" s="3" t="s">
        <v>177</v>
      </c>
      <c r="E30" s="3" t="s">
        <v>178</v>
      </c>
      <c r="F30" s="3" t="s">
        <v>179</v>
      </c>
      <c r="G30" s="3" t="s">
        <v>27</v>
      </c>
      <c r="H30" s="3" t="s">
        <v>180</v>
      </c>
      <c r="I30" s="3" t="s">
        <v>29</v>
      </c>
      <c r="J30" s="3" t="s">
        <v>21</v>
      </c>
      <c r="K30" s="3" t="s">
        <v>30</v>
      </c>
      <c r="L30" s="3"/>
    </row>
    <row r="31" customFormat="false" ht="34.5" hidden="false" customHeight="true" outlineLevel="0" collapsed="false">
      <c r="A31" s="3" t="s">
        <v>181</v>
      </c>
      <c r="B31" s="3" t="s">
        <v>170</v>
      </c>
      <c r="C31" s="3" t="s">
        <v>76</v>
      </c>
      <c r="D31" s="3" t="s">
        <v>182</v>
      </c>
      <c r="E31" s="3" t="s">
        <v>183</v>
      </c>
      <c r="F31" s="3" t="s">
        <v>184</v>
      </c>
      <c r="G31" s="3" t="s">
        <v>27</v>
      </c>
      <c r="H31" s="3" t="s">
        <v>185</v>
      </c>
      <c r="I31" s="3" t="s">
        <v>29</v>
      </c>
      <c r="J31" s="3" t="s">
        <v>21</v>
      </c>
      <c r="K31" s="3" t="s">
        <v>30</v>
      </c>
      <c r="L31" s="3"/>
    </row>
    <row r="32" customFormat="false" ht="34.5" hidden="false" customHeight="true" outlineLevel="0" collapsed="false">
      <c r="A32" s="3" t="s">
        <v>186</v>
      </c>
      <c r="B32" s="3" t="s">
        <v>170</v>
      </c>
      <c r="C32" s="3" t="s">
        <v>76</v>
      </c>
      <c r="D32" s="3" t="s">
        <v>187</v>
      </c>
      <c r="E32" s="3" t="s">
        <v>188</v>
      </c>
      <c r="F32" s="3" t="s">
        <v>189</v>
      </c>
      <c r="G32" s="3" t="s">
        <v>174</v>
      </c>
      <c r="H32" s="3" t="s">
        <v>190</v>
      </c>
      <c r="I32" s="3" t="s">
        <v>29</v>
      </c>
      <c r="J32" s="3" t="s">
        <v>21</v>
      </c>
      <c r="K32" s="3" t="s">
        <v>22</v>
      </c>
      <c r="L32" s="3"/>
    </row>
    <row r="33" customFormat="false" ht="34.5" hidden="false" customHeight="true" outlineLevel="0" collapsed="false">
      <c r="A33" s="3" t="s">
        <v>191</v>
      </c>
      <c r="B33" s="3" t="s">
        <v>170</v>
      </c>
      <c r="C33" s="3" t="s">
        <v>76</v>
      </c>
      <c r="D33" s="3" t="s">
        <v>192</v>
      </c>
      <c r="E33" s="3" t="s">
        <v>193</v>
      </c>
      <c r="F33" s="3" t="s">
        <v>194</v>
      </c>
      <c r="G33" s="3" t="s">
        <v>27</v>
      </c>
      <c r="H33" s="3" t="s">
        <v>195</v>
      </c>
      <c r="I33" s="3" t="s">
        <v>29</v>
      </c>
      <c r="J33" s="3" t="s">
        <v>21</v>
      </c>
      <c r="K33" s="3" t="s">
        <v>30</v>
      </c>
      <c r="L33" s="3"/>
    </row>
    <row r="34" customFormat="false" ht="23.25" hidden="false" customHeight="true" outlineLevel="0" collapsed="false">
      <c r="A34" s="3" t="s">
        <v>196</v>
      </c>
      <c r="B34" s="3" t="s">
        <v>170</v>
      </c>
      <c r="C34" s="3" t="s">
        <v>76</v>
      </c>
      <c r="D34" s="3" t="s">
        <v>197</v>
      </c>
      <c r="E34" s="3" t="s">
        <v>198</v>
      </c>
      <c r="F34" s="3" t="s">
        <v>199</v>
      </c>
      <c r="G34" s="3" t="s">
        <v>27</v>
      </c>
      <c r="H34" s="3" t="s">
        <v>200</v>
      </c>
      <c r="I34" s="3" t="s">
        <v>29</v>
      </c>
      <c r="J34" s="3" t="s">
        <v>21</v>
      </c>
      <c r="K34" s="3" t="s">
        <v>30</v>
      </c>
      <c r="L34" s="3"/>
    </row>
    <row r="35" customFormat="false" ht="34.5" hidden="false" customHeight="true" outlineLevel="0" collapsed="false">
      <c r="A35" s="3" t="s">
        <v>201</v>
      </c>
      <c r="B35" s="3" t="s">
        <v>170</v>
      </c>
      <c r="C35" s="3" t="s">
        <v>76</v>
      </c>
      <c r="D35" s="3" t="s">
        <v>202</v>
      </c>
      <c r="E35" s="3" t="s">
        <v>203</v>
      </c>
      <c r="F35" s="3" t="s">
        <v>204</v>
      </c>
      <c r="G35" s="3" t="s">
        <v>27</v>
      </c>
      <c r="H35" s="3" t="s">
        <v>205</v>
      </c>
      <c r="I35" s="3" t="s">
        <v>29</v>
      </c>
      <c r="J35" s="3" t="s">
        <v>21</v>
      </c>
      <c r="K35" s="3" t="s">
        <v>30</v>
      </c>
      <c r="L35" s="3"/>
    </row>
    <row r="36" customFormat="false" ht="34.5" hidden="false" customHeight="true" outlineLevel="0" collapsed="false">
      <c r="A36" s="3" t="s">
        <v>206</v>
      </c>
      <c r="B36" s="3" t="s">
        <v>207</v>
      </c>
      <c r="C36" s="3" t="s">
        <v>208</v>
      </c>
      <c r="D36" s="3" t="s">
        <v>209</v>
      </c>
      <c r="E36" s="3" t="s">
        <v>210</v>
      </c>
      <c r="F36" s="3" t="s">
        <v>211</v>
      </c>
      <c r="G36" s="3" t="s">
        <v>27</v>
      </c>
      <c r="H36" s="3" t="s">
        <v>212</v>
      </c>
      <c r="I36" s="3" t="s">
        <v>29</v>
      </c>
      <c r="J36" s="3" t="s">
        <v>21</v>
      </c>
      <c r="K36" s="3" t="s">
        <v>30</v>
      </c>
      <c r="L36" s="3"/>
    </row>
    <row r="37" customFormat="false" ht="34.5" hidden="false" customHeight="true" outlineLevel="0" collapsed="false">
      <c r="A37" s="3" t="s">
        <v>213</v>
      </c>
      <c r="B37" s="3" t="s">
        <v>207</v>
      </c>
      <c r="C37" s="3" t="s">
        <v>208</v>
      </c>
      <c r="D37" s="3" t="s">
        <v>214</v>
      </c>
      <c r="E37" s="3" t="s">
        <v>215</v>
      </c>
      <c r="F37" s="3" t="s">
        <v>216</v>
      </c>
      <c r="G37" s="3" t="s">
        <v>27</v>
      </c>
      <c r="H37" s="3" t="s">
        <v>217</v>
      </c>
      <c r="I37" s="3" t="s">
        <v>29</v>
      </c>
      <c r="J37" s="3" t="s">
        <v>21</v>
      </c>
      <c r="K37" s="3" t="s">
        <v>30</v>
      </c>
      <c r="L37" s="3"/>
    </row>
    <row r="38" customFormat="false" ht="34.5" hidden="false" customHeight="true" outlineLevel="0" collapsed="false">
      <c r="A38" s="3" t="s">
        <v>218</v>
      </c>
      <c r="B38" s="3" t="s">
        <v>207</v>
      </c>
      <c r="C38" s="3" t="s">
        <v>208</v>
      </c>
      <c r="D38" s="3" t="s">
        <v>219</v>
      </c>
      <c r="E38" s="3" t="s">
        <v>220</v>
      </c>
      <c r="F38" s="3" t="s">
        <v>221</v>
      </c>
      <c r="G38" s="3" t="s">
        <v>27</v>
      </c>
      <c r="H38" s="3" t="s">
        <v>222</v>
      </c>
      <c r="I38" s="3" t="s">
        <v>29</v>
      </c>
      <c r="J38" s="3" t="s">
        <v>21</v>
      </c>
      <c r="K38" s="3" t="s">
        <v>30</v>
      </c>
      <c r="L38" s="3"/>
    </row>
    <row r="39" customFormat="false" ht="45.75" hidden="false" customHeight="true" outlineLevel="0" collapsed="false">
      <c r="A39" s="3" t="s">
        <v>223</v>
      </c>
      <c r="B39" s="3" t="s">
        <v>207</v>
      </c>
      <c r="C39" s="3" t="s">
        <v>208</v>
      </c>
      <c r="D39" s="3" t="s">
        <v>224</v>
      </c>
      <c r="E39" s="3" t="s">
        <v>225</v>
      </c>
      <c r="F39" s="3" t="s">
        <v>226</v>
      </c>
      <c r="G39" s="3" t="s">
        <v>174</v>
      </c>
      <c r="H39" s="3" t="s">
        <v>227</v>
      </c>
      <c r="I39" s="3" t="s">
        <v>29</v>
      </c>
      <c r="J39" s="3" t="s">
        <v>21</v>
      </c>
      <c r="K39" s="3" t="s">
        <v>22</v>
      </c>
      <c r="L39" s="3"/>
    </row>
    <row r="40" customFormat="false" ht="34.5" hidden="false" customHeight="true" outlineLevel="0" collapsed="false">
      <c r="A40" s="3" t="s">
        <v>228</v>
      </c>
      <c r="B40" s="3" t="s">
        <v>207</v>
      </c>
      <c r="C40" s="3" t="s">
        <v>208</v>
      </c>
      <c r="D40" s="3" t="s">
        <v>229</v>
      </c>
      <c r="E40" s="3" t="s">
        <v>230</v>
      </c>
      <c r="F40" s="3" t="s">
        <v>231</v>
      </c>
      <c r="G40" s="3" t="s">
        <v>27</v>
      </c>
      <c r="H40" s="3" t="s">
        <v>232</v>
      </c>
      <c r="I40" s="3" t="s">
        <v>29</v>
      </c>
      <c r="J40" s="3" t="s">
        <v>21</v>
      </c>
      <c r="K40" s="3" t="s">
        <v>30</v>
      </c>
      <c r="L40" s="3"/>
    </row>
    <row r="41" customFormat="false" ht="34.5" hidden="false" customHeight="true" outlineLevel="0" collapsed="false">
      <c r="A41" s="3" t="s">
        <v>233</v>
      </c>
      <c r="B41" s="3" t="s">
        <v>207</v>
      </c>
      <c r="C41" s="3" t="s">
        <v>208</v>
      </c>
      <c r="D41" s="3" t="s">
        <v>234</v>
      </c>
      <c r="E41" s="3" t="s">
        <v>235</v>
      </c>
      <c r="F41" s="3" t="s">
        <v>236</v>
      </c>
      <c r="G41" s="3" t="s">
        <v>27</v>
      </c>
      <c r="H41" s="3" t="s">
        <v>237</v>
      </c>
      <c r="I41" s="3" t="s">
        <v>29</v>
      </c>
      <c r="J41" s="3" t="s">
        <v>21</v>
      </c>
      <c r="K41" s="3" t="s">
        <v>30</v>
      </c>
      <c r="L41" s="3"/>
    </row>
    <row r="42" customFormat="false" ht="34.5" hidden="false" customHeight="true" outlineLevel="0" collapsed="false">
      <c r="A42" s="3" t="s">
        <v>238</v>
      </c>
      <c r="B42" s="3" t="s">
        <v>207</v>
      </c>
      <c r="C42" s="3" t="s">
        <v>208</v>
      </c>
      <c r="D42" s="3" t="s">
        <v>239</v>
      </c>
      <c r="E42" s="3" t="s">
        <v>240</v>
      </c>
      <c r="F42" s="3" t="s">
        <v>241</v>
      </c>
      <c r="G42" s="3" t="s">
        <v>27</v>
      </c>
      <c r="H42" s="3" t="s">
        <v>242</v>
      </c>
      <c r="I42" s="3" t="s">
        <v>29</v>
      </c>
      <c r="J42" s="3" t="s">
        <v>21</v>
      </c>
      <c r="K42" s="3" t="s">
        <v>30</v>
      </c>
      <c r="L42" s="3"/>
    </row>
    <row r="43" customFormat="false" ht="34.5" hidden="false" customHeight="true" outlineLevel="0" collapsed="false">
      <c r="A43" s="3" t="s">
        <v>243</v>
      </c>
      <c r="B43" s="3" t="s">
        <v>207</v>
      </c>
      <c r="C43" s="3" t="s">
        <v>208</v>
      </c>
      <c r="D43" s="3" t="s">
        <v>244</v>
      </c>
      <c r="E43" s="3" t="s">
        <v>245</v>
      </c>
      <c r="F43" s="3" t="s">
        <v>246</v>
      </c>
      <c r="G43" s="3" t="s">
        <v>174</v>
      </c>
      <c r="H43" s="3" t="s">
        <v>247</v>
      </c>
      <c r="I43" s="3" t="s">
        <v>29</v>
      </c>
      <c r="J43" s="3" t="s">
        <v>21</v>
      </c>
      <c r="K43" s="3" t="s">
        <v>22</v>
      </c>
      <c r="L43" s="3"/>
    </row>
    <row r="44" customFormat="false" ht="34.5" hidden="false" customHeight="true" outlineLevel="0" collapsed="false">
      <c r="A44" s="3" t="s">
        <v>248</v>
      </c>
      <c r="B44" s="3" t="s">
        <v>207</v>
      </c>
      <c r="C44" s="3" t="s">
        <v>208</v>
      </c>
      <c r="D44" s="3" t="s">
        <v>249</v>
      </c>
      <c r="E44" s="3" t="s">
        <v>250</v>
      </c>
      <c r="F44" s="3" t="s">
        <v>251</v>
      </c>
      <c r="G44" s="3" t="s">
        <v>27</v>
      </c>
      <c r="H44" s="3" t="s">
        <v>252</v>
      </c>
      <c r="I44" s="3" t="s">
        <v>29</v>
      </c>
      <c r="J44" s="3" t="s">
        <v>21</v>
      </c>
      <c r="K44" s="3" t="s">
        <v>30</v>
      </c>
      <c r="L44" s="3"/>
    </row>
    <row r="45" customFormat="false" ht="57" hidden="false" customHeight="true" outlineLevel="0" collapsed="false">
      <c r="A45" s="3" t="s">
        <v>253</v>
      </c>
      <c r="B45" s="3" t="s">
        <v>207</v>
      </c>
      <c r="C45" s="3" t="s">
        <v>208</v>
      </c>
      <c r="D45" s="3" t="s">
        <v>254</v>
      </c>
      <c r="E45" s="3" t="s">
        <v>255</v>
      </c>
      <c r="F45" s="3" t="s">
        <v>256</v>
      </c>
      <c r="G45" s="3" t="s">
        <v>27</v>
      </c>
      <c r="H45" s="3" t="s">
        <v>257</v>
      </c>
      <c r="I45" s="3" t="s">
        <v>29</v>
      </c>
      <c r="J45" s="3" t="s">
        <v>21</v>
      </c>
      <c r="K45" s="3" t="s">
        <v>30</v>
      </c>
      <c r="L45" s="3"/>
    </row>
    <row r="46" customFormat="false" ht="57" hidden="false" customHeight="true" outlineLevel="0" collapsed="false">
      <c r="A46" s="3" t="s">
        <v>258</v>
      </c>
      <c r="B46" s="3" t="s">
        <v>207</v>
      </c>
      <c r="C46" s="3" t="s">
        <v>208</v>
      </c>
      <c r="D46" s="3" t="s">
        <v>259</v>
      </c>
      <c r="E46" s="3" t="s">
        <v>260</v>
      </c>
      <c r="F46" s="3" t="s">
        <v>261</v>
      </c>
      <c r="G46" s="3" t="s">
        <v>27</v>
      </c>
      <c r="H46" s="3" t="s">
        <v>262</v>
      </c>
      <c r="I46" s="3" t="s">
        <v>29</v>
      </c>
      <c r="J46" s="3" t="s">
        <v>21</v>
      </c>
      <c r="K46" s="3" t="s">
        <v>30</v>
      </c>
      <c r="L46" s="3"/>
    </row>
    <row r="47" customFormat="false" ht="34.5" hidden="false" customHeight="true" outlineLevel="0" collapsed="false">
      <c r="A47" s="3" t="s">
        <v>263</v>
      </c>
      <c r="B47" s="3" t="s">
        <v>207</v>
      </c>
      <c r="C47" s="3" t="s">
        <v>208</v>
      </c>
      <c r="D47" s="3" t="s">
        <v>264</v>
      </c>
      <c r="E47" s="3" t="s">
        <v>265</v>
      </c>
      <c r="F47" s="3" t="s">
        <v>266</v>
      </c>
      <c r="G47" s="3" t="s">
        <v>27</v>
      </c>
      <c r="H47" s="3" t="s">
        <v>267</v>
      </c>
      <c r="I47" s="3" t="s">
        <v>29</v>
      </c>
      <c r="J47" s="3" t="s">
        <v>21</v>
      </c>
      <c r="K47" s="3" t="s">
        <v>30</v>
      </c>
      <c r="L47" s="3"/>
    </row>
    <row r="48" customFormat="false" ht="34.5" hidden="false" customHeight="true" outlineLevel="0" collapsed="false">
      <c r="A48" s="3" t="s">
        <v>268</v>
      </c>
      <c r="B48" s="3" t="s">
        <v>207</v>
      </c>
      <c r="C48" s="3" t="s">
        <v>208</v>
      </c>
      <c r="D48" s="3" t="s">
        <v>269</v>
      </c>
      <c r="E48" s="3" t="s">
        <v>270</v>
      </c>
      <c r="F48" s="3" t="s">
        <v>271</v>
      </c>
      <c r="G48" s="3" t="s">
        <v>27</v>
      </c>
      <c r="H48" s="3" t="s">
        <v>272</v>
      </c>
      <c r="I48" s="3" t="s">
        <v>29</v>
      </c>
      <c r="J48" s="3" t="s">
        <v>21</v>
      </c>
      <c r="K48" s="3" t="s">
        <v>30</v>
      </c>
      <c r="L48" s="3"/>
    </row>
    <row r="49" customFormat="false" ht="34.5" hidden="false" customHeight="true" outlineLevel="0" collapsed="false">
      <c r="A49" s="3" t="s">
        <v>273</v>
      </c>
      <c r="B49" s="3" t="s">
        <v>274</v>
      </c>
      <c r="C49" s="3" t="s">
        <v>208</v>
      </c>
      <c r="D49" s="3" t="s">
        <v>275</v>
      </c>
      <c r="E49" s="3" t="s">
        <v>276</v>
      </c>
      <c r="F49" s="3" t="s">
        <v>277</v>
      </c>
      <c r="G49" s="3" t="s">
        <v>174</v>
      </c>
      <c r="H49" s="3" t="s">
        <v>278</v>
      </c>
      <c r="I49" s="3" t="s">
        <v>29</v>
      </c>
      <c r="J49" s="3" t="s">
        <v>21</v>
      </c>
      <c r="K49" s="3" t="s">
        <v>22</v>
      </c>
      <c r="L49" s="3"/>
    </row>
    <row r="50" customFormat="false" ht="34.5" hidden="false" customHeight="true" outlineLevel="0" collapsed="false">
      <c r="A50" s="3" t="s">
        <v>279</v>
      </c>
      <c r="B50" s="3" t="s">
        <v>274</v>
      </c>
      <c r="C50" s="3" t="s">
        <v>208</v>
      </c>
      <c r="D50" s="3" t="s">
        <v>280</v>
      </c>
      <c r="E50" s="3" t="s">
        <v>281</v>
      </c>
      <c r="F50" s="3" t="s">
        <v>282</v>
      </c>
      <c r="G50" s="3" t="s">
        <v>27</v>
      </c>
      <c r="H50" s="3" t="s">
        <v>283</v>
      </c>
      <c r="I50" s="3" t="s">
        <v>29</v>
      </c>
      <c r="J50" s="3" t="s">
        <v>21</v>
      </c>
      <c r="K50" s="3" t="s">
        <v>30</v>
      </c>
      <c r="L50" s="3"/>
    </row>
    <row r="51" customFormat="false" ht="23.25" hidden="false" customHeight="true" outlineLevel="0" collapsed="false">
      <c r="A51" s="3" t="s">
        <v>284</v>
      </c>
      <c r="B51" s="3" t="s">
        <v>274</v>
      </c>
      <c r="C51" s="3" t="s">
        <v>208</v>
      </c>
      <c r="D51" s="3" t="s">
        <v>285</v>
      </c>
      <c r="E51" s="3" t="s">
        <v>286</v>
      </c>
      <c r="F51" s="3" t="s">
        <v>287</v>
      </c>
      <c r="G51" s="3" t="s">
        <v>18</v>
      </c>
      <c r="H51" s="3" t="s">
        <v>288</v>
      </c>
      <c r="I51" s="3" t="s">
        <v>289</v>
      </c>
      <c r="J51" s="3" t="s">
        <v>21</v>
      </c>
      <c r="K51" s="3" t="s">
        <v>22</v>
      </c>
      <c r="L51" s="3"/>
    </row>
    <row r="52" customFormat="false" ht="23.25" hidden="false" customHeight="true" outlineLevel="0" collapsed="false">
      <c r="A52" s="3" t="s">
        <v>290</v>
      </c>
      <c r="B52" s="3" t="s">
        <v>291</v>
      </c>
      <c r="C52" s="3" t="s">
        <v>208</v>
      </c>
      <c r="D52" s="3" t="s">
        <v>292</v>
      </c>
      <c r="E52" s="3" t="s">
        <v>293</v>
      </c>
      <c r="F52" s="3" t="s">
        <v>294</v>
      </c>
      <c r="G52" s="3" t="s">
        <v>174</v>
      </c>
      <c r="H52" s="3" t="s">
        <v>295</v>
      </c>
      <c r="I52" s="3" t="s">
        <v>29</v>
      </c>
      <c r="J52" s="3" t="s">
        <v>21</v>
      </c>
      <c r="K52" s="3" t="s">
        <v>22</v>
      </c>
      <c r="L52" s="3"/>
    </row>
    <row r="53" customFormat="false" ht="23.25" hidden="false" customHeight="true" outlineLevel="0" collapsed="false">
      <c r="A53" s="3" t="s">
        <v>296</v>
      </c>
      <c r="B53" s="3" t="s">
        <v>291</v>
      </c>
      <c r="C53" s="3" t="s">
        <v>208</v>
      </c>
      <c r="D53" s="3" t="s">
        <v>297</v>
      </c>
      <c r="E53" s="3" t="s">
        <v>298</v>
      </c>
      <c r="F53" s="3" t="s">
        <v>299</v>
      </c>
      <c r="G53" s="3" t="s">
        <v>27</v>
      </c>
      <c r="H53" s="3" t="s">
        <v>300</v>
      </c>
      <c r="I53" s="3" t="s">
        <v>29</v>
      </c>
      <c r="J53" s="3" t="s">
        <v>21</v>
      </c>
      <c r="K53" s="3" t="s">
        <v>30</v>
      </c>
      <c r="L53" s="3"/>
    </row>
    <row r="54" customFormat="false" ht="23.25" hidden="false" customHeight="true" outlineLevel="0" collapsed="false">
      <c r="A54" s="3" t="s">
        <v>301</v>
      </c>
      <c r="B54" s="3" t="s">
        <v>291</v>
      </c>
      <c r="C54" s="3" t="s">
        <v>208</v>
      </c>
      <c r="D54" s="3" t="s">
        <v>302</v>
      </c>
      <c r="E54" s="3" t="s">
        <v>303</v>
      </c>
      <c r="F54" s="3" t="s">
        <v>304</v>
      </c>
      <c r="G54" s="3" t="s">
        <v>161</v>
      </c>
      <c r="H54" s="3" t="s">
        <v>305</v>
      </c>
      <c r="I54" s="3"/>
      <c r="J54" s="3" t="s">
        <v>163</v>
      </c>
      <c r="K54" s="3"/>
      <c r="L54" s="3"/>
    </row>
    <row r="55" customFormat="false" ht="23.25" hidden="false" customHeight="true" outlineLevel="0" collapsed="false">
      <c r="A55" s="3" t="s">
        <v>306</v>
      </c>
      <c r="B55" s="3" t="s">
        <v>307</v>
      </c>
      <c r="C55" s="3" t="s">
        <v>208</v>
      </c>
      <c r="D55" s="3" t="s">
        <v>308</v>
      </c>
      <c r="E55" s="3" t="s">
        <v>309</v>
      </c>
      <c r="F55" s="3" t="s">
        <v>310</v>
      </c>
      <c r="G55" s="3" t="s">
        <v>174</v>
      </c>
      <c r="H55" s="3" t="s">
        <v>311</v>
      </c>
      <c r="I55" s="3" t="s">
        <v>29</v>
      </c>
      <c r="J55" s="3" t="s">
        <v>21</v>
      </c>
      <c r="K55" s="3" t="s">
        <v>22</v>
      </c>
      <c r="L55" s="3" t="s">
        <v>312</v>
      </c>
    </row>
    <row r="56" customFormat="false" ht="23.25" hidden="false" customHeight="true" outlineLevel="0" collapsed="false">
      <c r="A56" s="3" t="s">
        <v>313</v>
      </c>
      <c r="B56" s="3" t="s">
        <v>307</v>
      </c>
      <c r="C56" s="3" t="s">
        <v>208</v>
      </c>
      <c r="D56" s="3" t="s">
        <v>314</v>
      </c>
      <c r="E56" s="3" t="s">
        <v>315</v>
      </c>
      <c r="F56" s="3" t="s">
        <v>316</v>
      </c>
      <c r="G56" s="3" t="s">
        <v>27</v>
      </c>
      <c r="H56" s="3" t="s">
        <v>317</v>
      </c>
      <c r="I56" s="3" t="s">
        <v>29</v>
      </c>
      <c r="J56" s="3" t="s">
        <v>21</v>
      </c>
      <c r="K56" s="3" t="s">
        <v>30</v>
      </c>
      <c r="L56" s="3"/>
    </row>
    <row r="57" customFormat="false" ht="57" hidden="false" customHeight="true" outlineLevel="0" collapsed="false">
      <c r="A57" s="3" t="s">
        <v>318</v>
      </c>
      <c r="B57" s="3" t="s">
        <v>307</v>
      </c>
      <c r="C57" s="3" t="s">
        <v>208</v>
      </c>
      <c r="D57" s="3" t="s">
        <v>319</v>
      </c>
      <c r="E57" s="3" t="s">
        <v>320</v>
      </c>
      <c r="F57" s="3" t="s">
        <v>321</v>
      </c>
      <c r="G57" s="3" t="s">
        <v>27</v>
      </c>
      <c r="H57" s="3" t="s">
        <v>322</v>
      </c>
      <c r="I57" s="3" t="s">
        <v>29</v>
      </c>
      <c r="J57" s="3" t="s">
        <v>21</v>
      </c>
      <c r="K57" s="3" t="s">
        <v>30</v>
      </c>
      <c r="L57" s="3"/>
    </row>
    <row r="58" customFormat="false" ht="34.5" hidden="false" customHeight="true" outlineLevel="0" collapsed="false">
      <c r="A58" s="3" t="s">
        <v>323</v>
      </c>
      <c r="B58" s="3" t="s">
        <v>307</v>
      </c>
      <c r="C58" s="3" t="s">
        <v>208</v>
      </c>
      <c r="D58" s="3" t="s">
        <v>324</v>
      </c>
      <c r="E58" s="3" t="s">
        <v>325</v>
      </c>
      <c r="F58" s="3" t="s">
        <v>326</v>
      </c>
      <c r="G58" s="3" t="s">
        <v>27</v>
      </c>
      <c r="H58" s="3" t="s">
        <v>327</v>
      </c>
      <c r="I58" s="3" t="s">
        <v>29</v>
      </c>
      <c r="J58" s="3" t="s">
        <v>21</v>
      </c>
      <c r="K58" s="3" t="s">
        <v>30</v>
      </c>
      <c r="L58" s="3"/>
    </row>
    <row r="59" customFormat="false" ht="45.75" hidden="false" customHeight="true" outlineLevel="0" collapsed="false">
      <c r="A59" s="3" t="s">
        <v>328</v>
      </c>
      <c r="B59" s="3" t="s">
        <v>307</v>
      </c>
      <c r="C59" s="3" t="s">
        <v>208</v>
      </c>
      <c r="D59" s="3" t="s">
        <v>329</v>
      </c>
      <c r="E59" s="3" t="s">
        <v>330</v>
      </c>
      <c r="F59" s="3" t="s">
        <v>331</v>
      </c>
      <c r="G59" s="3" t="s">
        <v>27</v>
      </c>
      <c r="H59" s="3" t="s">
        <v>332</v>
      </c>
      <c r="I59" s="3" t="s">
        <v>29</v>
      </c>
      <c r="J59" s="3" t="s">
        <v>21</v>
      </c>
      <c r="K59" s="3" t="s">
        <v>30</v>
      </c>
      <c r="L59" s="3"/>
    </row>
    <row r="60" customFormat="false" ht="34.5" hidden="false" customHeight="true" outlineLevel="0" collapsed="false">
      <c r="A60" s="3" t="s">
        <v>333</v>
      </c>
      <c r="B60" s="3" t="s">
        <v>307</v>
      </c>
      <c r="C60" s="3" t="s">
        <v>208</v>
      </c>
      <c r="D60" s="3" t="s">
        <v>334</v>
      </c>
      <c r="E60" s="3" t="s">
        <v>335</v>
      </c>
      <c r="F60" s="3" t="s">
        <v>336</v>
      </c>
      <c r="G60" s="3" t="s">
        <v>27</v>
      </c>
      <c r="H60" s="3" t="s">
        <v>337</v>
      </c>
      <c r="I60" s="3" t="s">
        <v>29</v>
      </c>
      <c r="J60" s="3" t="s">
        <v>21</v>
      </c>
      <c r="K60" s="3" t="s">
        <v>30</v>
      </c>
      <c r="L60" s="3"/>
    </row>
    <row r="61" customFormat="false" ht="23.25" hidden="false" customHeight="true" outlineLevel="0" collapsed="false">
      <c r="A61" s="3" t="s">
        <v>338</v>
      </c>
      <c r="B61" s="3" t="s">
        <v>339</v>
      </c>
      <c r="C61" s="3" t="s">
        <v>208</v>
      </c>
      <c r="D61" s="3" t="s">
        <v>340</v>
      </c>
      <c r="E61" s="3" t="s">
        <v>341</v>
      </c>
      <c r="F61" s="3" t="s">
        <v>342</v>
      </c>
      <c r="G61" s="3" t="s">
        <v>27</v>
      </c>
      <c r="H61" s="3" t="s">
        <v>343</v>
      </c>
      <c r="I61" s="3" t="s">
        <v>29</v>
      </c>
      <c r="J61" s="3" t="s">
        <v>21</v>
      </c>
      <c r="K61" s="3" t="s">
        <v>30</v>
      </c>
      <c r="L61" s="3"/>
    </row>
    <row r="62" customFormat="false" ht="57" hidden="false" customHeight="true" outlineLevel="0" collapsed="false">
      <c r="A62" s="3" t="s">
        <v>344</v>
      </c>
      <c r="B62" s="3" t="s">
        <v>339</v>
      </c>
      <c r="C62" s="3" t="s">
        <v>208</v>
      </c>
      <c r="D62" s="3" t="s">
        <v>345</v>
      </c>
      <c r="E62" s="3" t="s">
        <v>346</v>
      </c>
      <c r="F62" s="3" t="s">
        <v>347</v>
      </c>
      <c r="G62" s="3" t="s">
        <v>27</v>
      </c>
      <c r="H62" s="3" t="s">
        <v>348</v>
      </c>
      <c r="I62" s="3" t="s">
        <v>29</v>
      </c>
      <c r="J62" s="3" t="s">
        <v>21</v>
      </c>
      <c r="K62" s="3" t="s">
        <v>30</v>
      </c>
      <c r="L62" s="3"/>
    </row>
    <row r="63" customFormat="false" ht="34.5" hidden="false" customHeight="true" outlineLevel="0" collapsed="false">
      <c r="A63" s="3" t="s">
        <v>349</v>
      </c>
      <c r="B63" s="3" t="s">
        <v>339</v>
      </c>
      <c r="C63" s="3" t="s">
        <v>208</v>
      </c>
      <c r="D63" s="3" t="s">
        <v>350</v>
      </c>
      <c r="E63" s="3" t="s">
        <v>351</v>
      </c>
      <c r="F63" s="3" t="s">
        <v>352</v>
      </c>
      <c r="G63" s="3" t="s">
        <v>27</v>
      </c>
      <c r="H63" s="3" t="s">
        <v>353</v>
      </c>
      <c r="I63" s="3" t="s">
        <v>29</v>
      </c>
      <c r="J63" s="3" t="s">
        <v>21</v>
      </c>
      <c r="K63" s="3" t="s">
        <v>30</v>
      </c>
      <c r="L63" s="3"/>
    </row>
    <row r="64" customFormat="false" ht="34.5" hidden="false" customHeight="true" outlineLevel="0" collapsed="false">
      <c r="A64" s="3" t="s">
        <v>354</v>
      </c>
      <c r="B64" s="3" t="s">
        <v>339</v>
      </c>
      <c r="C64" s="3" t="s">
        <v>208</v>
      </c>
      <c r="D64" s="3" t="s">
        <v>355</v>
      </c>
      <c r="E64" s="3" t="s">
        <v>356</v>
      </c>
      <c r="F64" s="3" t="s">
        <v>357</v>
      </c>
      <c r="G64" s="3" t="s">
        <v>27</v>
      </c>
      <c r="H64" s="3" t="s">
        <v>358</v>
      </c>
      <c r="I64" s="3" t="s">
        <v>29</v>
      </c>
      <c r="J64" s="3" t="s">
        <v>21</v>
      </c>
      <c r="K64" s="3" t="s">
        <v>30</v>
      </c>
      <c r="L64" s="3"/>
    </row>
    <row r="65" customFormat="false" ht="23.25" hidden="false" customHeight="true" outlineLevel="0" collapsed="false">
      <c r="A65" s="3" t="s">
        <v>359</v>
      </c>
      <c r="B65" s="3" t="s">
        <v>339</v>
      </c>
      <c r="C65" s="3" t="s">
        <v>208</v>
      </c>
      <c r="D65" s="3" t="s">
        <v>360</v>
      </c>
      <c r="E65" s="3" t="s">
        <v>361</v>
      </c>
      <c r="F65" s="3" t="s">
        <v>362</v>
      </c>
      <c r="G65" s="3" t="s">
        <v>161</v>
      </c>
      <c r="H65" s="3" t="s">
        <v>363</v>
      </c>
      <c r="I65" s="3"/>
      <c r="J65" s="3" t="s">
        <v>163</v>
      </c>
      <c r="K65" s="3"/>
      <c r="L65" s="3"/>
    </row>
    <row r="66" customFormat="false" ht="23.25" hidden="false" customHeight="true" outlineLevel="0" collapsed="false">
      <c r="A66" s="3" t="s">
        <v>364</v>
      </c>
      <c r="B66" s="3" t="s">
        <v>365</v>
      </c>
      <c r="C66" s="3" t="s">
        <v>208</v>
      </c>
      <c r="D66" s="3" t="s">
        <v>366</v>
      </c>
      <c r="E66" s="3" t="s">
        <v>367</v>
      </c>
      <c r="F66" s="3" t="s">
        <v>368</v>
      </c>
      <c r="G66" s="3" t="s">
        <v>369</v>
      </c>
      <c r="H66" s="3" t="s">
        <v>370</v>
      </c>
      <c r="I66" s="3" t="s">
        <v>371</v>
      </c>
      <c r="J66" s="3" t="s">
        <v>21</v>
      </c>
      <c r="K66" s="3" t="s">
        <v>22</v>
      </c>
      <c r="L66" s="3"/>
    </row>
    <row r="67" customFormat="false" ht="23.25" hidden="false" customHeight="true" outlineLevel="0" collapsed="false">
      <c r="A67" s="3" t="s">
        <v>372</v>
      </c>
      <c r="B67" s="3" t="s">
        <v>365</v>
      </c>
      <c r="C67" s="3" t="s">
        <v>208</v>
      </c>
      <c r="D67" s="3" t="s">
        <v>373</v>
      </c>
      <c r="E67" s="3" t="s">
        <v>374</v>
      </c>
      <c r="F67" s="3" t="s">
        <v>375</v>
      </c>
      <c r="G67" s="3" t="s">
        <v>376</v>
      </c>
      <c r="H67" s="3" t="s">
        <v>377</v>
      </c>
      <c r="I67" s="3" t="s">
        <v>378</v>
      </c>
      <c r="J67" s="3" t="s">
        <v>21</v>
      </c>
      <c r="K67" s="3" t="s">
        <v>379</v>
      </c>
      <c r="L67" s="3"/>
    </row>
    <row r="68" customFormat="false" ht="15" hidden="false" customHeight="true" outlineLevel="0" collapsed="false">
      <c r="A68" s="3" t="s">
        <v>380</v>
      </c>
      <c r="B68" s="3" t="s">
        <v>365</v>
      </c>
      <c r="C68" s="3" t="s">
        <v>208</v>
      </c>
      <c r="D68" s="3" t="s">
        <v>381</v>
      </c>
      <c r="E68" s="3" t="s">
        <v>382</v>
      </c>
      <c r="F68" s="3" t="s">
        <v>383</v>
      </c>
      <c r="G68" s="3" t="s">
        <v>384</v>
      </c>
      <c r="H68" s="3"/>
      <c r="I68" s="3"/>
      <c r="J68" s="3" t="s">
        <v>163</v>
      </c>
      <c r="K68" s="3"/>
      <c r="L68" s="3"/>
    </row>
    <row r="69" customFormat="false" ht="15" hidden="false" customHeight="true" outlineLevel="0" collapsed="false">
      <c r="A69" s="3" t="s">
        <v>385</v>
      </c>
      <c r="B69" s="3" t="s">
        <v>365</v>
      </c>
      <c r="C69" s="3" t="s">
        <v>208</v>
      </c>
      <c r="D69" s="3" t="s">
        <v>386</v>
      </c>
      <c r="E69" s="3" t="s">
        <v>387</v>
      </c>
      <c r="F69" s="3" t="s">
        <v>388</v>
      </c>
      <c r="G69" s="3" t="s">
        <v>389</v>
      </c>
      <c r="H69" s="3" t="s">
        <v>390</v>
      </c>
      <c r="I69" s="3" t="s">
        <v>391</v>
      </c>
      <c r="J69" s="3" t="s">
        <v>21</v>
      </c>
      <c r="K69" s="3" t="s">
        <v>379</v>
      </c>
      <c r="L69" s="3" t="s">
        <v>392</v>
      </c>
    </row>
    <row r="70" customFormat="false" ht="15" hidden="false" customHeight="true" outlineLevel="0" collapsed="false">
      <c r="A70" s="3" t="s">
        <v>393</v>
      </c>
      <c r="B70" s="3" t="s">
        <v>339</v>
      </c>
      <c r="C70" s="3" t="s">
        <v>137</v>
      </c>
      <c r="D70" s="3" t="s">
        <v>394</v>
      </c>
      <c r="E70" s="3" t="s">
        <v>395</v>
      </c>
      <c r="F70" s="3" t="s">
        <v>396</v>
      </c>
      <c r="G70" s="3" t="s">
        <v>397</v>
      </c>
      <c r="H70" s="3" t="s">
        <v>398</v>
      </c>
      <c r="I70" s="3" t="s">
        <v>399</v>
      </c>
      <c r="J70" s="3" t="s">
        <v>21</v>
      </c>
      <c r="K70" s="3" t="s">
        <v>379</v>
      </c>
      <c r="L70" s="3" t="s">
        <v>400</v>
      </c>
    </row>
  </sheetData>
  <autoFilter ref="A1:L68"/>
  <conditionalFormatting sqref="J2:J68">
    <cfRule type="cellIs" priority="2" operator="equal" aboveAverage="0" equalAverage="0" bottom="0" percent="0" rank="0" text="" dxfId="2">
      <formula>"Fail"</formula>
    </cfRule>
    <cfRule type="cellIs" priority="3" operator="equal" aboveAverage="0" equalAverage="0" bottom="0" percent="0" rank="0" text="" dxfId="3">
      <formula>"Pass"</formula>
    </cfRule>
  </conditionalFormatting>
  <dataValidations count="1">
    <dataValidation allowBlank="false" errorStyle="stop" operator="between" showDropDown="false" showErrorMessage="false" showInputMessage="false" sqref="J2:J70" type="list">
      <formula1>"Pass,Fail,Not run"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5" min="2" style="1" width="10"/>
  </cols>
  <sheetData>
    <row r="1" customFormat="false" ht="15.75" hidden="false" customHeight="true" outlineLevel="0" collapsed="false">
      <c r="A1" s="4" t="s">
        <v>401</v>
      </c>
    </row>
    <row r="2" customFormat="false" ht="15" hidden="false" customHeight="true" outlineLevel="0" collapsed="false">
      <c r="A2" s="5" t="s">
        <v>402</v>
      </c>
    </row>
    <row r="4" customFormat="false" ht="15" hidden="false" customHeight="true" outlineLevel="0" collapsed="false">
      <c r="A4" s="6" t="s">
        <v>1</v>
      </c>
      <c r="B4" s="6" t="s">
        <v>403</v>
      </c>
      <c r="C4" s="6" t="s">
        <v>21</v>
      </c>
      <c r="D4" s="6" t="s">
        <v>404</v>
      </c>
      <c r="E4" s="6" t="s">
        <v>163</v>
      </c>
    </row>
    <row r="5" customFormat="false" ht="15" hidden="false" customHeight="true" outlineLevel="0" collapsed="false">
      <c r="A5" s="7" t="s">
        <v>13</v>
      </c>
      <c r="B5" s="7" t="n">
        <f aca="false">COUNTIF('Test cases'!$B$2:$B$70,A5)</f>
        <v>6</v>
      </c>
      <c r="C5" s="7" t="n">
        <f aca="false">COUNTIFS('Test cases'!$B$2:$B$70,$A5,'Test cases'!$J$2:$J$70,"Pass")</f>
        <v>6</v>
      </c>
      <c r="D5" s="7" t="n">
        <f aca="false">COUNTIFS('Test cases'!$B$2:$B$70,$A5,'Test cases'!$J$2:$J$70,"Fail")</f>
        <v>0</v>
      </c>
      <c r="E5" s="7" t="n">
        <f aca="false">COUNTIFS('Test cases'!$B$2:$B$70,$A5,'Test cases'!$J$2:$J$70,"Not run")</f>
        <v>0</v>
      </c>
    </row>
    <row r="6" customFormat="false" ht="15" hidden="false" customHeight="true" outlineLevel="0" collapsed="false">
      <c r="A6" s="7" t="s">
        <v>53</v>
      </c>
      <c r="B6" s="7" t="n">
        <f aca="false">COUNTIF('Test cases'!$B$2:$B$70,A6)</f>
        <v>4</v>
      </c>
      <c r="C6" s="7" t="n">
        <f aca="false">COUNTIFS('Test cases'!$B$2:$B$70,$A6,'Test cases'!$J$2:$J$70,"Pass")</f>
        <v>4</v>
      </c>
      <c r="D6" s="7" t="n">
        <f aca="false">COUNTIFS('Test cases'!$B$2:$B$70,$A6,'Test cases'!$J$2:$J$70,"Fail")</f>
        <v>0</v>
      </c>
      <c r="E6" s="7" t="n">
        <f aca="false">COUNTIFS('Test cases'!$B$2:$B$70,$A6,'Test cases'!$J$2:$J$70,"Not run")</f>
        <v>0</v>
      </c>
    </row>
    <row r="7" customFormat="false" ht="15" hidden="false" customHeight="true" outlineLevel="0" collapsed="false">
      <c r="A7" s="7" t="s">
        <v>75</v>
      </c>
      <c r="B7" s="7" t="n">
        <f aca="false">COUNTIF('Test cases'!$B$2:$B$70,A7)</f>
        <v>5</v>
      </c>
      <c r="C7" s="7" t="n">
        <f aca="false">COUNTIFS('Test cases'!$B$2:$B$70,$A7,'Test cases'!$J$2:$J$70,"Pass")</f>
        <v>5</v>
      </c>
      <c r="D7" s="7" t="n">
        <f aca="false">COUNTIFS('Test cases'!$B$2:$B$70,$A7,'Test cases'!$J$2:$J$70,"Fail")</f>
        <v>0</v>
      </c>
      <c r="E7" s="7" t="n">
        <f aca="false">COUNTIFS('Test cases'!$B$2:$B$70,$A7,'Test cases'!$J$2:$J$70,"Not run")</f>
        <v>0</v>
      </c>
    </row>
    <row r="8" customFormat="false" ht="15" hidden="false" customHeight="true" outlineLevel="0" collapsed="false">
      <c r="A8" s="7" t="s">
        <v>103</v>
      </c>
      <c r="B8" s="7" t="n">
        <f aca="false">COUNTIF('Test cases'!$B$2:$B$70,A8)</f>
        <v>6</v>
      </c>
      <c r="C8" s="7" t="n">
        <f aca="false">COUNTIFS('Test cases'!$B$2:$B$70,$A8,'Test cases'!$J$2:$J$70,"Pass")</f>
        <v>6</v>
      </c>
      <c r="D8" s="7" t="n">
        <f aca="false">COUNTIFS('Test cases'!$B$2:$B$70,$A8,'Test cases'!$J$2:$J$70,"Fail")</f>
        <v>0</v>
      </c>
      <c r="E8" s="7" t="n">
        <f aca="false">COUNTIFS('Test cases'!$B$2:$B$70,$A8,'Test cases'!$J$2:$J$70,"Not run")</f>
        <v>0</v>
      </c>
    </row>
    <row r="9" customFormat="false" ht="15" hidden="false" customHeight="true" outlineLevel="0" collapsed="false">
      <c r="A9" s="7" t="s">
        <v>136</v>
      </c>
      <c r="B9" s="7" t="n">
        <f aca="false">COUNTIF('Test cases'!$B$2:$B$70,A9)</f>
        <v>6</v>
      </c>
      <c r="C9" s="7" t="n">
        <f aca="false">COUNTIFS('Test cases'!$B$2:$B$70,$A9,'Test cases'!$J$2:$J$70,"Pass")</f>
        <v>5</v>
      </c>
      <c r="D9" s="7" t="n">
        <f aca="false">COUNTIFS('Test cases'!$B$2:$B$70,$A9,'Test cases'!$J$2:$J$70,"Fail")</f>
        <v>0</v>
      </c>
      <c r="E9" s="7" t="n">
        <f aca="false">COUNTIFS('Test cases'!$B$2:$B$70,$A9,'Test cases'!$J$2:$J$70,"Not run")</f>
        <v>1</v>
      </c>
    </row>
    <row r="10" customFormat="false" ht="15" hidden="false" customHeight="true" outlineLevel="0" collapsed="false">
      <c r="A10" s="7" t="s">
        <v>170</v>
      </c>
      <c r="B10" s="7" t="n">
        <f aca="false">COUNTIF('Test cases'!$B$2:$B$70,A10)</f>
        <v>7</v>
      </c>
      <c r="C10" s="7" t="n">
        <f aca="false">COUNTIFS('Test cases'!$B$2:$B$70,$A10,'Test cases'!$J$2:$J$70,"Pass")</f>
        <v>7</v>
      </c>
      <c r="D10" s="7" t="n">
        <f aca="false">COUNTIFS('Test cases'!$B$2:$B$70,$A10,'Test cases'!$J$2:$J$70,"Fail")</f>
        <v>0</v>
      </c>
      <c r="E10" s="7" t="n">
        <f aca="false">COUNTIFS('Test cases'!$B$2:$B$70,$A10,'Test cases'!$J$2:$J$70,"Not run")</f>
        <v>0</v>
      </c>
    </row>
    <row r="11" customFormat="false" ht="15" hidden="false" customHeight="true" outlineLevel="0" collapsed="false">
      <c r="A11" s="7" t="s">
        <v>207</v>
      </c>
      <c r="B11" s="7" t="n">
        <f aca="false">COUNTIF('Test cases'!$B$2:$B$70,A11)</f>
        <v>13</v>
      </c>
      <c r="C11" s="7" t="n">
        <f aca="false">COUNTIFS('Test cases'!$B$2:$B$70,$A11,'Test cases'!$J$2:$J$70,"Pass")</f>
        <v>13</v>
      </c>
      <c r="D11" s="7" t="n">
        <f aca="false">COUNTIFS('Test cases'!$B$2:$B$70,$A11,'Test cases'!$J$2:$J$70,"Fail")</f>
        <v>0</v>
      </c>
      <c r="E11" s="7" t="n">
        <f aca="false">COUNTIFS('Test cases'!$B$2:$B$70,$A11,'Test cases'!$J$2:$J$70,"Not run")</f>
        <v>0</v>
      </c>
    </row>
    <row r="12" customFormat="false" ht="15" hidden="false" customHeight="true" outlineLevel="0" collapsed="false">
      <c r="A12" s="7" t="s">
        <v>274</v>
      </c>
      <c r="B12" s="7" t="n">
        <f aca="false">COUNTIF('Test cases'!$B$2:$B$70,A12)</f>
        <v>3</v>
      </c>
      <c r="C12" s="7" t="n">
        <f aca="false">COUNTIFS('Test cases'!$B$2:$B$70,$A12,'Test cases'!$J$2:$J$70,"Pass")</f>
        <v>3</v>
      </c>
      <c r="D12" s="7" t="n">
        <f aca="false">COUNTIFS('Test cases'!$B$2:$B$70,$A12,'Test cases'!$J$2:$J$70,"Fail")</f>
        <v>0</v>
      </c>
      <c r="E12" s="7" t="n">
        <f aca="false">COUNTIFS('Test cases'!$B$2:$B$70,$A12,'Test cases'!$J$2:$J$70,"Not run")</f>
        <v>0</v>
      </c>
    </row>
    <row r="13" customFormat="false" ht="15" hidden="false" customHeight="true" outlineLevel="0" collapsed="false">
      <c r="A13" s="7" t="s">
        <v>291</v>
      </c>
      <c r="B13" s="7" t="n">
        <f aca="false">COUNTIF('Test cases'!$B$2:$B$70,A13)</f>
        <v>3</v>
      </c>
      <c r="C13" s="7" t="n">
        <f aca="false">COUNTIFS('Test cases'!$B$2:$B$70,$A13,'Test cases'!$J$2:$J$70,"Pass")</f>
        <v>2</v>
      </c>
      <c r="D13" s="7" t="n">
        <f aca="false">COUNTIFS('Test cases'!$B$2:$B$70,$A13,'Test cases'!$J$2:$J$70,"Fail")</f>
        <v>0</v>
      </c>
      <c r="E13" s="7" t="n">
        <f aca="false">COUNTIFS('Test cases'!$B$2:$B$70,$A13,'Test cases'!$J$2:$J$70,"Not run")</f>
        <v>1</v>
      </c>
    </row>
    <row r="14" customFormat="false" ht="15" hidden="false" customHeight="true" outlineLevel="0" collapsed="false">
      <c r="A14" s="7" t="s">
        <v>307</v>
      </c>
      <c r="B14" s="7" t="n">
        <f aca="false">COUNTIF('Test cases'!$B$2:$B$70,A14)</f>
        <v>6</v>
      </c>
      <c r="C14" s="7" t="n">
        <f aca="false">COUNTIFS('Test cases'!$B$2:$B$70,$A14,'Test cases'!$J$2:$J$70,"Pass")</f>
        <v>6</v>
      </c>
      <c r="D14" s="7" t="n">
        <f aca="false">COUNTIFS('Test cases'!$B$2:$B$70,$A14,'Test cases'!$J$2:$J$70,"Fail")</f>
        <v>0</v>
      </c>
      <c r="E14" s="7" t="n">
        <f aca="false">COUNTIFS('Test cases'!$B$2:$B$70,$A14,'Test cases'!$J$2:$J$70,"Not run")</f>
        <v>0</v>
      </c>
    </row>
    <row r="15" customFormat="false" ht="15" hidden="false" customHeight="true" outlineLevel="0" collapsed="false">
      <c r="A15" s="7" t="s">
        <v>339</v>
      </c>
      <c r="B15" s="7" t="n">
        <f aca="false">COUNTIF('Test cases'!$B$2:$B$70,A15)</f>
        <v>6</v>
      </c>
      <c r="C15" s="7" t="n">
        <f aca="false">COUNTIFS('Test cases'!$B$2:$B$70,$A15,'Test cases'!$J$2:$J$70,"Pass")</f>
        <v>5</v>
      </c>
      <c r="D15" s="7" t="n">
        <f aca="false">COUNTIFS('Test cases'!$B$2:$B$70,$A15,'Test cases'!$J$2:$J$70,"Fail")</f>
        <v>0</v>
      </c>
      <c r="E15" s="7" t="n">
        <f aca="false">COUNTIFS('Test cases'!$B$2:$B$70,$A15,'Test cases'!$J$2:$J$70,"Not run")</f>
        <v>1</v>
      </c>
    </row>
    <row r="16" customFormat="false" ht="15" hidden="false" customHeight="true" outlineLevel="0" collapsed="false">
      <c r="A16" s="7" t="s">
        <v>365</v>
      </c>
      <c r="B16" s="7" t="n">
        <f aca="false">COUNTIF('Test cases'!$B$2:$B$70,A16)</f>
        <v>4</v>
      </c>
      <c r="C16" s="7" t="n">
        <f aca="false">COUNTIFS('Test cases'!$B$2:$B$70,$A16,'Test cases'!$J$2:$J$70,"Pass")</f>
        <v>3</v>
      </c>
      <c r="D16" s="7" t="n">
        <f aca="false">COUNTIFS('Test cases'!$B$2:$B$70,$A16,'Test cases'!$J$2:$J$70,"Fail")</f>
        <v>0</v>
      </c>
      <c r="E16" s="7" t="n">
        <f aca="false">COUNTIFS('Test cases'!$B$2:$B$70,$A16,'Test cases'!$J$2:$J$70,"Not run")</f>
        <v>1</v>
      </c>
    </row>
    <row r="17" customFormat="false" ht="15" hidden="false" customHeight="true" outlineLevel="0" collapsed="false">
      <c r="A17" s="8" t="s">
        <v>403</v>
      </c>
      <c r="B17" s="8" t="n">
        <f aca="false">SUM(B5:B16)</f>
        <v>69</v>
      </c>
      <c r="C17" s="8" t="n">
        <f aca="false">SUM(C5:C16)</f>
        <v>65</v>
      </c>
      <c r="D17" s="8" t="n">
        <f aca="false">SUM(D5:D16)</f>
        <v>0</v>
      </c>
      <c r="E17" s="8" t="n">
        <f aca="false">SUM(E5:E16)</f>
        <v>4</v>
      </c>
    </row>
    <row r="18" customFormat="false" ht="15" hidden="false" customHeight="true" outlineLevel="0" collapsed="false">
      <c r="A18" s="7"/>
      <c r="B18" s="7"/>
      <c r="C18" s="7"/>
      <c r="D18" s="7"/>
      <c r="E18" s="7"/>
    </row>
    <row r="19" customFormat="false" ht="15" hidden="false" customHeight="true" outlineLevel="0" collapsed="false">
      <c r="A19" s="8" t="s">
        <v>405</v>
      </c>
      <c r="B19" s="7"/>
      <c r="C19" s="7"/>
      <c r="D19" s="7"/>
      <c r="E19" s="7"/>
    </row>
    <row r="20" customFormat="false" ht="15" hidden="false" customHeight="true" outlineLevel="0" collapsed="false">
      <c r="A20" s="7" t="s">
        <v>406</v>
      </c>
      <c r="B20" s="7" t="n">
        <f aca="false">COUNTIF('Test cases'!$C$2:$C$70,"1")</f>
        <v>10</v>
      </c>
      <c r="C20" s="7" t="n">
        <f aca="false">COUNTIFS('Test cases'!$C$2:$C$70,"1",'Test cases'!$J$2:$J$70,"Pass")</f>
        <v>10</v>
      </c>
      <c r="D20" s="7"/>
      <c r="E20" s="7"/>
    </row>
    <row r="21" customFormat="false" ht="15" hidden="false" customHeight="true" outlineLevel="0" collapsed="false">
      <c r="A21" s="7" t="s">
        <v>407</v>
      </c>
      <c r="B21" s="7" t="n">
        <f aca="false">COUNTIF('Test cases'!$C$2:$C$70,"2")</f>
        <v>12</v>
      </c>
      <c r="C21" s="7" t="n">
        <f aca="false">COUNTIFS('Test cases'!$C$2:$C$70,"2",'Test cases'!$J$2:$J$70,"Pass")</f>
        <v>12</v>
      </c>
      <c r="D21" s="7"/>
      <c r="E21" s="7"/>
    </row>
    <row r="22" customFormat="false" ht="15" hidden="false" customHeight="true" outlineLevel="0" collapsed="false">
      <c r="A22" s="7" t="s">
        <v>408</v>
      </c>
      <c r="B22" s="7" t="n">
        <f aca="false">COUNTIF('Test cases'!$C$2:$C$70,"3")</f>
        <v>6</v>
      </c>
      <c r="C22" s="7" t="n">
        <f aca="false">COUNTIFS('Test cases'!$C$2:$C$70,"3",'Test cases'!$J$2:$J$70,"Pass")</f>
        <v>6</v>
      </c>
      <c r="D22" s="7"/>
      <c r="E22" s="7"/>
    </row>
    <row r="23" customFormat="false" ht="15" hidden="false" customHeight="true" outlineLevel="0" collapsed="false">
      <c r="A23" s="7" t="s">
        <v>409</v>
      </c>
      <c r="B23" s="7" t="n">
        <f aca="false">COUNTIF('Test cases'!$C$2:$C$70,"4")</f>
        <v>7</v>
      </c>
      <c r="C23" s="7" t="n">
        <f aca="false">COUNTIFS('Test cases'!$C$2:$C$70,"4",'Test cases'!$J$2:$J$70,"Pass")</f>
        <v>6</v>
      </c>
      <c r="D23" s="7"/>
      <c r="E23" s="7"/>
    </row>
    <row r="24" customFormat="false" ht="15" hidden="false" customHeight="true" outlineLevel="0" collapsed="false">
      <c r="A24" s="7"/>
      <c r="B24" s="7"/>
      <c r="C24" s="7"/>
      <c r="D24" s="7"/>
      <c r="E24"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15" hidden="false" customHeight="true" outlineLevel="0" collapsed="false">
      <c r="A1" s="9" t="s">
        <v>410</v>
      </c>
    </row>
    <row r="2" customFormat="false" ht="15" hidden="false" customHeight="true" outlineLevel="0" collapsed="false">
      <c r="A2" s="10" t="s">
        <v>411</v>
      </c>
    </row>
    <row r="3" customFormat="false" ht="15" hidden="false" customHeight="true" outlineLevel="0" collapsed="false">
      <c r="A3" s="10" t="s">
        <v>412</v>
      </c>
    </row>
    <row r="4" customFormat="false" ht="23.25" hidden="false" customHeight="true" outlineLevel="0" collapsed="false">
      <c r="A4" s="10" t="s">
        <v>413</v>
      </c>
    </row>
    <row r="5" customFormat="false" ht="15" hidden="false" customHeight="true" outlineLevel="0" collapsed="false">
      <c r="A5" s="10" t="s">
        <v>414</v>
      </c>
    </row>
    <row r="6" customFormat="false" ht="15" hidden="false" customHeight="true" outlineLevel="0" collapsed="false">
      <c r="A6" s="10" t="s">
        <v>415</v>
      </c>
    </row>
    <row r="7" customFormat="false" ht="15" hidden="false" customHeight="true" outlineLevel="0" collapsed="false">
      <c r="A7" s="10" t="s">
        <v>416</v>
      </c>
    </row>
    <row r="8" customFormat="false" ht="15" hidden="false" customHeight="true" outlineLevel="0" collapsed="false">
      <c r="A8" s="10" t="s">
        <v>417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2026-10-22T04:16:37Z</dcterms:created>
  <dc:creator>openpyxl</dc:creator>
  <dc:description/>
  <dc:language>en-US</dc:language>
  <cp:lastModifiedBy/>
  <dcterms:modified xsi:type="dcterms:W3CDTF">2026-10-23T05:58:27Z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