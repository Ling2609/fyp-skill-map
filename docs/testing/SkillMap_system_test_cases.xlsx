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<sst xmlns="http://schemas.openxmlformats.org/spreadsheetml/2006/main" count="774" uniqueCount="402">
  <si>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</si>
  <si>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</si>
  <si>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</si>
  <si>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</si>
  <si>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</si>
  <si>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</si>
  <si>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</si>
  <si>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</si>
  <si>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</si>
  <si>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</si>
  <si>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</si>
  <si>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</si>
  <si>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</si>
  <si>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</si>
  <si>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</si>
  <si>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</si>
  <si>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</si>
  <si>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</si>
  <si>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</si>
  <si>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</si>
  <si>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</si>
  <si>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</si>
  <si>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</si>
  <si>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</si>
  <si>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</si>
  <si>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</si>
  <si>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</si>
  <si>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</si>
  <si>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</si>
  <si>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</si>
  <si>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</si>
  <si>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</si>
  <si>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</si>
  <si>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</si>
  <si>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</si>
  <si>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</si>
  <si>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</si>
  <si>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</si>
  <si>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</si>
  <si>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</si>
  <si>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</si>
  <si>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</si>
  <si>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</si>
  <si>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</si>
  <si>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</si>
  <si>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</si>
  <si>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</si>
  <si>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</si>
  <si>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</si>
  <si>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</si>
  <si>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</si>
  <si>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</si>
  <si>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</si>
  <si>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</si>
  <si>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</si>
  <si>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</si>
  <si>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</si>
  <si>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</si>
  <si>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</si>
  <si>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</si>
  <si>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</si>
  <si>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</si>
  <si>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</si>
  <si>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</si>
  <si>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</si>
  <si>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</si>
  <si>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</si>
  <si>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</si>
  <si>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</si>
  <si>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</si>
  <si>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</si>
  <si>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</si>
  <si>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</si>
  <si>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</si>
  <si>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</si>
  <si>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</si>
  <si>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</si>
  <si>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</si>
  <si>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</si>
  <si>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</si>
  <si>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</si>
  <si>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</si>
  <si>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</si>
  <si>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</si>
  <si>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</si>
  <si>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</si>
  <si>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</si>
  <si>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</si>
  <si>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</si>
  <si>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</si>
  <si>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</si>
  <si>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</si>
  <si>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</si>
  <si>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</si>
  <si>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</si>
  <si>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</si>
  <si>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</si>
  <si>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</si>
  <si>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</si>
  <si>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</si>
  <si>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</si>
  <si>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</si>
  <si>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</si>
  <si>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</si>
  <si>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</si>
  <si>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</si>
  <si>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</si>
  <si>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</si>
  <si>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</si>
  <si>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</si>
  <si>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</si>
  <si>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</si>
  <si>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</si>
  <si>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</si>
  <si>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</si>
  <si>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</si>
  <si>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</si>
  <si>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</si>
  <si>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</si>
  <si>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pytest 21 Oct (137 passed): test_ad_requirements.py::test_live_job_requirements_read_by_the_rules_without_citizenship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</si>
  <si>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</si>
  <si>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</si>
  <si>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</si>
  <si>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</si>
  <si>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</si>
  <si>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</si>
  <si>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</si>
  <si>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</si>
  <si>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</si>
  <si>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pytest 21 Oct (137 passed): test_description_grounding.py (3 tests)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</si>
  <si>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</si>
  <si>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</si>
  <si>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</si>
  <si>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</si>
  <si>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</si>
  <si>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</si>
  <si>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</si>
  <si>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</si>
  <si>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</si>
  <si>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</si>
  <si>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</si>
  <si>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</si>
  <si>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</si>
  <si>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</si>
  <si>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</si>
  <si>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</si>
  <si>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</si>
  <si>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</si>
  <si>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</si>
  <si>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</si>
  <si>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</si>
  <si>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</si>
  <si>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</si>
  <si>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</si>
  <si>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</si>
  <si>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</si>
  <si>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</si>
  <si>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</si>
  <si>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</si>
  <si>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</si>
  <si>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</si>
  <si>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</si>
  <si>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Needs the Groq key and MongoDB</t>
  </si>
  <si>
    <t xml:space="preserve">Not run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</si>
  <si>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</si>
  <si>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</si>
  <si>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</si>
  <si>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</si>
  <si>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</si>
  <si>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</si>
  <si>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</si>
  <si>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</si>
  <si>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</si>
  <si>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</si>
  <si>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</si>
  <si>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</si>
  <si>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</si>
  <si>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</si>
  <si>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</si>
  <si>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</si>
  <si>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</si>
  <si>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</si>
  <si>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</si>
  <si>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</si>
  <si>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</si>
  <si>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</si>
  <si>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</si>
  <si>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</si>
  <si>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</si>
  <si>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</si>
  <si>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</si>
  <si>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</si>
  <si>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</si>
  <si>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</si>
  <si>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</si>
  <si>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</si>
  <si>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</si>
  <si>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</si>
  <si>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</si>
  <si>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</si>
  <si>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</si>
  <si>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</si>
  <si>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</si>
  <si>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</si>
  <si>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</si>
  <si>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</si>
  <si>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</si>
  <si>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</si>
  <si>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</si>
  <si>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</si>
  <si>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</si>
  <si>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</si>
  <si>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</si>
  <si>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</si>
  <si>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</si>
  <si>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</si>
  <si>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</si>
  <si>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</si>
  <si>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</si>
  <si>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</si>
  <si>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</t>
  </si>
  <si>
    <t xml:space="preserve">Set; moved once with a reason; second move refused</t>
  </si>
  <si>
    <t xml:space="preserve">pytest 21 Oct (137 passed): test_transparency.py::test_decision_date_is_set_when_posting_and_moved_once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</si>
  <si>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</si>
  <si>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</si>
  <si>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</si>
  <si>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</si>
  <si>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</si>
  <si>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</si>
  <si>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</si>
  <si>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</si>
  <si>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</si>
  <si>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</si>
  <si>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</si>
  <si>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</si>
  <si>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</si>
  <si>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</si>
  <si>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</si>
  <si>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</si>
  <si>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</si>
  <si>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</si>
  <si>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</si>
  <si>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</si>
  <si>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</si>
  <si>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</si>
  <si>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</si>
  <si>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</si>
  <si>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</si>
  <si>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</si>
  <si>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</si>
  <si>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</si>
  <si>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</si>
  <si>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21 Oct (137 passed):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</si>
  <si>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</si>
  <si>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</si>
  <si>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</si>
  <si>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</si>
  <si>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</si>
  <si>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</si>
  <si>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</si>
  <si>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</si>
  <si>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</si>
  <si>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</si>
  <si>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</si>
  <si>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</si>
  <si>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</si>
  <si>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</si>
  <si>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</si>
  <si>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</si>
  <si>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</si>
  <si>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</si>
  <si>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</si>
  <si>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</si>
  <si>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</si>
  <si>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</si>
  <si>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</si>
  <si>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</si>
  <si>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</si>
  <si>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</si>
  <si>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</si>
  <si>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</si>
  <si>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</si>
  <si>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</si>
  <si>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</si>
  <si>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</si>
  <si>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</si>
  <si>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</si>
  <si>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</si>
  <si>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</si>
  <si>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</si>
  <si>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</si>
  <si>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</si>
  <si>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</si>
  <si>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</si>
  <si>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</si>
  <si>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</si>
  <si>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</si>
  <si>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</si>
  <si>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</si>
  <si>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</si>
  <si>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</si>
  <si>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</si>
  <si>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</si>
  <si>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</si>
  <si>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</si>
  <si>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Needs the email settings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</si>
  <si>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</si>
  <si>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</si>
  <si>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</si>
  <si>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</si>
  <si>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</si>
  <si>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</si>
  <si>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</si>
  <si>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</si>
  <si>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</si>
  <si>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</si>
  <si>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</si>
  <si>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</si>
  <si>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</si>
  <si>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</si>
  <si>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</si>
  <si>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</si>
  <si>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</si>
  <si>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</si>
  <si>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</si>
  <si>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</si>
  <si>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</si>
  <si>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</si>
  <si>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</si>
  <si>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</si>
  <si>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</si>
  <si>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</si>
  <si>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</si>
  <si>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</si>
  <si>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</si>
  <si>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</si>
  <si>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</si>
  <si>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</si>
  <si>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</si>
  <si>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</si>
  <si>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</si>
  <si>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</si>
  <si>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</si>
  <si>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</si>
  <si>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</si>
  <si>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</si>
  <si>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</si>
  <si>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</si>
  <si>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</si>
  <si>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</si>
  <si>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</si>
  <si>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</si>
  <si>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</si>
  <si>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</si>
  <si>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</si>
  <si>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</si>
  <si>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</si>
  <si>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</si>
  <si>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</si>
  <si>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</si>
  <si>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</si>
  <si>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</si>
  <si>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</si>
  <si>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Stop the Groq key / network, then post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</si>
  <si>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</si>
  <si>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</si>
  <si>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</si>
  <si>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</si>
  <si>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</si>
  <si>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</si>
  <si>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</si>
  <si>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</si>
  <si>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</si>
  <si>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</si>
  <si>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(desktop, Accessibility) on every page of every role: 4 by hand in Chrome DevTools, all 33 by frontend/scripts/lighthouse_all.mjs; axe-core scan of 33 pages, pop-ups and forms (5-accessibility.spec.js); Job Matches and View applicants with the keyboard only</t>
  </si>
  <si>
    <t xml:space="preserve">No serious accessibility problems left; Lighthouse accessibility score recorded</t>
  </si>
  <si>
    <t xml:space="preserve">Tool: Lighthouse + axe-core scan (Playwright) + keyboard tests</t>
  </si>
  <si>
    <t xml:space="preserve">docs/evidence/lighthouse/ (4 by hand) and lighthouse/all/ (33 + summary.md); docs/evidence/e2e/accessibility.json and accessibility_before_2026-10-22.md; 5-accessibility.spec.js (17 passed)</t>
  </si>
  <si>
    <t xml:space="preserve"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</si>
  <si>
    <t xml:space="preserve">23 Oct 2026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</si>
  <si>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</si>
  <si>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</si>
  <si>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</si>
  <si>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</si>
  <si>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</si>
  <si>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</si>
  <si>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</si>
  <si>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</si>
  <si>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</si>
  <si>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</si>
  <si>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</si>
  <si>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</si>
  <si>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</si>
  <si>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</si>
  <si>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</si>
  <si>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</si>
  <si>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</si>
  <si>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 were run on 21 Oct 2026 on Windows: 137 passed (docs/evidence/tests/pytest_2026-10-21b.txt). Re-run pytest after any change and update the date.</t>
  </si>
  <si>
    <t xml:space="preserve">Evaluation rows come from the evaluation runs (docs/evidence/ and MongoDB evaluation_runs).</t>
  </si>
  <si>
    <t xml:space="preserve">'Playwright E2E (step 2)' rows will be run by the browser scripts; 'Manual' rows by hand; 'Tool' rows in steps 3-5.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</si>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</sst>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27</v>
      </c>
      <c r="H19" s="3" t="s">
        <v>119</v>
      </c>
      <c r="I19" s="3" t="s">
        <v>29</v>
      </c>
      <c r="J19" s="3" t="s">
        <v>21</v>
      </c>
      <c r="K19" s="3" t="s">
        <v>30</v>
      </c>
      <c r="L19" s="3"/>
    </row>
    <row r="20" customFormat="false" ht="34.5" hidden="false" customHeight="true" outlineLevel="0" collapsed="false">
      <c r="A20" s="3" t="s">
        <v>120</v>
      </c>
      <c r="B20" s="3" t="s">
        <v>103</v>
      </c>
      <c r="C20" s="3" t="s">
        <v>104</v>
      </c>
      <c r="D20" s="3" t="s">
        <v>121</v>
      </c>
      <c r="E20" s="3" t="s">
        <v>122</v>
      </c>
      <c r="F20" s="3" t="s">
        <v>123</v>
      </c>
      <c r="G20" s="3" t="s">
        <v>27</v>
      </c>
      <c r="H20" s="3" t="s">
        <v>124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125</v>
      </c>
      <c r="B21" s="3" t="s">
        <v>103</v>
      </c>
      <c r="C21" s="3" t="s">
        <v>104</v>
      </c>
      <c r="D21" s="3" t="s">
        <v>126</v>
      </c>
      <c r="E21" s="3" t="s">
        <v>127</v>
      </c>
      <c r="F21" s="3" t="s">
        <v>128</v>
      </c>
      <c r="G21" s="3" t="s">
        <v>27</v>
      </c>
      <c r="H21" s="3" t="s">
        <v>129</v>
      </c>
      <c r="I21" s="3" t="s">
        <v>29</v>
      </c>
      <c r="J21" s="3" t="s">
        <v>21</v>
      </c>
      <c r="K21" s="3" t="s">
        <v>30</v>
      </c>
      <c r="L21" s="3"/>
    </row>
    <row r="22" customFormat="false" ht="34.5" hidden="false" customHeight="true" outlineLevel="0" collapsed="false">
      <c r="A22" s="3" t="s">
        <v>130</v>
      </c>
      <c r="B22" s="3" t="s">
        <v>103</v>
      </c>
      <c r="C22" s="3" t="s">
        <v>104</v>
      </c>
      <c r="D22" s="3" t="s">
        <v>131</v>
      </c>
      <c r="E22" s="3" t="s">
        <v>132</v>
      </c>
      <c r="F22" s="3" t="s">
        <v>133</v>
      </c>
      <c r="G22" s="3" t="s">
        <v>27</v>
      </c>
      <c r="H22" s="3" t="s">
        <v>134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135</v>
      </c>
      <c r="B23" s="3" t="s">
        <v>136</v>
      </c>
      <c r="C23" s="3" t="s">
        <v>137</v>
      </c>
      <c r="D23" s="3" t="s">
        <v>138</v>
      </c>
      <c r="E23" s="3" t="s">
        <v>139</v>
      </c>
      <c r="F23" s="3" t="s">
        <v>140</v>
      </c>
      <c r="G23" s="3" t="s">
        <v>27</v>
      </c>
      <c r="H23" s="3" t="s">
        <v>141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142</v>
      </c>
      <c r="B24" s="3" t="s">
        <v>136</v>
      </c>
      <c r="C24" s="3" t="s">
        <v>137</v>
      </c>
      <c r="D24" s="3" t="s">
        <v>143</v>
      </c>
      <c r="E24" s="3" t="s">
        <v>144</v>
      </c>
      <c r="F24" s="3" t="s">
        <v>145</v>
      </c>
      <c r="G24" s="3" t="s">
        <v>27</v>
      </c>
      <c r="H24" s="3" t="s">
        <v>146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147</v>
      </c>
      <c r="B25" s="3" t="s">
        <v>136</v>
      </c>
      <c r="C25" s="3" t="s">
        <v>137</v>
      </c>
      <c r="D25" s="3" t="s">
        <v>148</v>
      </c>
      <c r="E25" s="3" t="s">
        <v>149</v>
      </c>
      <c r="F25" s="3" t="s">
        <v>150</v>
      </c>
      <c r="G25" s="3" t="s">
        <v>27</v>
      </c>
      <c r="H25" s="3" t="s">
        <v>151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152</v>
      </c>
      <c r="B26" s="3" t="s">
        <v>136</v>
      </c>
      <c r="C26" s="3" t="s">
        <v>137</v>
      </c>
      <c r="D26" s="3" t="s">
        <v>153</v>
      </c>
      <c r="E26" s="3" t="s">
        <v>154</v>
      </c>
      <c r="F26" s="3" t="s">
        <v>155</v>
      </c>
      <c r="G26" s="3" t="s">
        <v>27</v>
      </c>
      <c r="H26" s="3" t="s">
        <v>156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157</v>
      </c>
      <c r="B27" s="3" t="s">
        <v>136</v>
      </c>
      <c r="C27" s="3" t="s">
        <v>137</v>
      </c>
      <c r="D27" s="3" t="s">
        <v>158</v>
      </c>
      <c r="E27" s="3" t="s">
        <v>159</v>
      </c>
      <c r="F27" s="3" t="s">
        <v>160</v>
      </c>
      <c r="G27" s="3" t="s">
        <v>161</v>
      </c>
      <c r="H27" s="3" t="s">
        <v>162</v>
      </c>
      <c r="I27" s="3"/>
      <c r="J27" s="3" t="s">
        <v>163</v>
      </c>
      <c r="K27" s="3"/>
      <c r="L27" s="3"/>
    </row>
    <row r="28" customFormat="false" ht="34.5" hidden="false" customHeight="true" outlineLevel="0" collapsed="false">
      <c r="A28" s="3" t="s">
        <v>164</v>
      </c>
      <c r="B28" s="3" t="s">
        <v>136</v>
      </c>
      <c r="C28" s="3" t="s">
        <v>137</v>
      </c>
      <c r="D28" s="3" t="s">
        <v>165</v>
      </c>
      <c r="E28" s="3" t="s">
        <v>166</v>
      </c>
      <c r="F28" s="3" t="s">
        <v>167</v>
      </c>
      <c r="G28" s="3" t="s">
        <v>27</v>
      </c>
      <c r="H28" s="3" t="s">
        <v>168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169</v>
      </c>
      <c r="B29" s="3" t="s">
        <v>170</v>
      </c>
      <c r="C29" s="3" t="s">
        <v>76</v>
      </c>
      <c r="D29" s="3" t="s">
        <v>171</v>
      </c>
      <c r="E29" s="3" t="s">
        <v>172</v>
      </c>
      <c r="F29" s="3" t="s">
        <v>173</v>
      </c>
      <c r="G29" s="3" t="s">
        <v>174</v>
      </c>
      <c r="H29" s="3" t="s">
        <v>175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176</v>
      </c>
      <c r="B30" s="3" t="s">
        <v>170</v>
      </c>
      <c r="C30" s="3" t="s">
        <v>76</v>
      </c>
      <c r="D30" s="3" t="s">
        <v>177</v>
      </c>
      <c r="E30" s="3" t="s">
        <v>178</v>
      </c>
      <c r="F30" s="3" t="s">
        <v>179</v>
      </c>
      <c r="G30" s="3" t="s">
        <v>27</v>
      </c>
      <c r="H30" s="3" t="s">
        <v>180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181</v>
      </c>
      <c r="B31" s="3" t="s">
        <v>170</v>
      </c>
      <c r="C31" s="3" t="s">
        <v>76</v>
      </c>
      <c r="D31" s="3" t="s">
        <v>182</v>
      </c>
      <c r="E31" s="3" t="s">
        <v>183</v>
      </c>
      <c r="F31" s="3" t="s">
        <v>184</v>
      </c>
      <c r="G31" s="3" t="s">
        <v>27</v>
      </c>
      <c r="H31" s="3" t="s">
        <v>185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186</v>
      </c>
      <c r="B32" s="3" t="s">
        <v>170</v>
      </c>
      <c r="C32" s="3" t="s">
        <v>76</v>
      </c>
      <c r="D32" s="3" t="s">
        <v>187</v>
      </c>
      <c r="E32" s="3" t="s">
        <v>188</v>
      </c>
      <c r="F32" s="3" t="s">
        <v>189</v>
      </c>
      <c r="G32" s="3" t="s">
        <v>174</v>
      </c>
      <c r="H32" s="3" t="s">
        <v>190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191</v>
      </c>
      <c r="B33" s="3" t="s">
        <v>170</v>
      </c>
      <c r="C33" s="3" t="s">
        <v>76</v>
      </c>
      <c r="D33" s="3" t="s">
        <v>192</v>
      </c>
      <c r="E33" s="3" t="s">
        <v>193</v>
      </c>
      <c r="F33" s="3" t="s">
        <v>194</v>
      </c>
      <c r="G33" s="3" t="s">
        <v>27</v>
      </c>
      <c r="H33" s="3" t="s">
        <v>195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196</v>
      </c>
      <c r="B34" s="3" t="s">
        <v>170</v>
      </c>
      <c r="C34" s="3" t="s">
        <v>76</v>
      </c>
      <c r="D34" s="3" t="s">
        <v>197</v>
      </c>
      <c r="E34" s="3" t="s">
        <v>198</v>
      </c>
      <c r="F34" s="3" t="s">
        <v>199</v>
      </c>
      <c r="G34" s="3" t="s">
        <v>27</v>
      </c>
      <c r="H34" s="3" t="s">
        <v>200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201</v>
      </c>
      <c r="B35" s="3" t="s">
        <v>170</v>
      </c>
      <c r="C35" s="3" t="s">
        <v>76</v>
      </c>
      <c r="D35" s="3" t="s">
        <v>202</v>
      </c>
      <c r="E35" s="3" t="s">
        <v>203</v>
      </c>
      <c r="F35" s="3" t="s">
        <v>204</v>
      </c>
      <c r="G35" s="3" t="s">
        <v>27</v>
      </c>
      <c r="H35" s="3" t="s">
        <v>205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206</v>
      </c>
      <c r="B36" s="3" t="s">
        <v>207</v>
      </c>
      <c r="C36" s="3" t="s">
        <v>208</v>
      </c>
      <c r="D36" s="3" t="s">
        <v>209</v>
      </c>
      <c r="E36" s="3" t="s">
        <v>210</v>
      </c>
      <c r="F36" s="3" t="s">
        <v>211</v>
      </c>
      <c r="G36" s="3" t="s">
        <v>27</v>
      </c>
      <c r="H36" s="3" t="s">
        <v>212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213</v>
      </c>
      <c r="B37" s="3" t="s">
        <v>207</v>
      </c>
      <c r="C37" s="3" t="s">
        <v>208</v>
      </c>
      <c r="D37" s="3" t="s">
        <v>214</v>
      </c>
      <c r="E37" s="3" t="s">
        <v>215</v>
      </c>
      <c r="F37" s="3" t="s">
        <v>216</v>
      </c>
      <c r="G37" s="3" t="s">
        <v>27</v>
      </c>
      <c r="H37" s="3" t="s">
        <v>217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218</v>
      </c>
      <c r="B38" s="3" t="s">
        <v>207</v>
      </c>
      <c r="C38" s="3" t="s">
        <v>208</v>
      </c>
      <c r="D38" s="3" t="s">
        <v>219</v>
      </c>
      <c r="E38" s="3" t="s">
        <v>220</v>
      </c>
      <c r="F38" s="3" t="s">
        <v>221</v>
      </c>
      <c r="G38" s="3" t="s">
        <v>27</v>
      </c>
      <c r="H38" s="3" t="s">
        <v>222</v>
      </c>
      <c r="I38" s="3" t="s">
        <v>29</v>
      </c>
      <c r="J38" s="3" t="s">
        <v>21</v>
      </c>
      <c r="K38" s="3" t="s">
        <v>30</v>
      </c>
      <c r="L38" s="3"/>
    </row>
    <row r="39" customFormat="false" ht="45.75" hidden="false" customHeight="true" outlineLevel="0" collapsed="false">
      <c r="A39" s="3" t="s">
        <v>223</v>
      </c>
      <c r="B39" s="3" t="s">
        <v>207</v>
      </c>
      <c r="C39" s="3" t="s">
        <v>208</v>
      </c>
      <c r="D39" s="3" t="s">
        <v>224</v>
      </c>
      <c r="E39" s="3" t="s">
        <v>225</v>
      </c>
      <c r="F39" s="3" t="s">
        <v>226</v>
      </c>
      <c r="G39" s="3" t="s">
        <v>174</v>
      </c>
      <c r="H39" s="3" t="s">
        <v>227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228</v>
      </c>
      <c r="B40" s="3" t="s">
        <v>207</v>
      </c>
      <c r="C40" s="3" t="s">
        <v>208</v>
      </c>
      <c r="D40" s="3" t="s">
        <v>229</v>
      </c>
      <c r="E40" s="3" t="s">
        <v>230</v>
      </c>
      <c r="F40" s="3" t="s">
        <v>231</v>
      </c>
      <c r="G40" s="3" t="s">
        <v>27</v>
      </c>
      <c r="H40" s="3" t="s">
        <v>232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233</v>
      </c>
      <c r="B41" s="3" t="s">
        <v>207</v>
      </c>
      <c r="C41" s="3" t="s">
        <v>208</v>
      </c>
      <c r="D41" s="3" t="s">
        <v>234</v>
      </c>
      <c r="E41" s="3" t="s">
        <v>235</v>
      </c>
      <c r="F41" s="3" t="s">
        <v>236</v>
      </c>
      <c r="G41" s="3" t="s">
        <v>27</v>
      </c>
      <c r="H41" s="3" t="s">
        <v>237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238</v>
      </c>
      <c r="B42" s="3" t="s">
        <v>207</v>
      </c>
      <c r="C42" s="3" t="s">
        <v>208</v>
      </c>
      <c r="D42" s="3" t="s">
        <v>239</v>
      </c>
      <c r="E42" s="3" t="s">
        <v>240</v>
      </c>
      <c r="F42" s="3" t="s">
        <v>241</v>
      </c>
      <c r="G42" s="3" t="s">
        <v>27</v>
      </c>
      <c r="H42" s="3" t="s">
        <v>242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243</v>
      </c>
      <c r="B43" s="3" t="s">
        <v>207</v>
      </c>
      <c r="C43" s="3" t="s">
        <v>208</v>
      </c>
      <c r="D43" s="3" t="s">
        <v>244</v>
      </c>
      <c r="E43" s="3" t="s">
        <v>245</v>
      </c>
      <c r="F43" s="3" t="s">
        <v>246</v>
      </c>
      <c r="G43" s="3" t="s">
        <v>174</v>
      </c>
      <c r="H43" s="3" t="s">
        <v>247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248</v>
      </c>
      <c r="B44" s="3" t="s">
        <v>207</v>
      </c>
      <c r="C44" s="3" t="s">
        <v>208</v>
      </c>
      <c r="D44" s="3" t="s">
        <v>249</v>
      </c>
      <c r="E44" s="3" t="s">
        <v>250</v>
      </c>
      <c r="F44" s="3" t="s">
        <v>251</v>
      </c>
      <c r="G44" s="3" t="s">
        <v>27</v>
      </c>
      <c r="H44" s="3" t="s">
        <v>252</v>
      </c>
      <c r="I44" s="3" t="s">
        <v>29</v>
      </c>
      <c r="J44" s="3" t="s">
        <v>21</v>
      </c>
      <c r="K44" s="3" t="s">
        <v>30</v>
      </c>
      <c r="L44" s="3"/>
    </row>
    <row r="45" customFormat="false" ht="57" hidden="false" customHeight="true" outlineLevel="0" collapsed="false">
      <c r="A45" s="3" t="s">
        <v>253</v>
      </c>
      <c r="B45" s="3" t="s">
        <v>207</v>
      </c>
      <c r="C45" s="3" t="s">
        <v>208</v>
      </c>
      <c r="D45" s="3" t="s">
        <v>254</v>
      </c>
      <c r="E45" s="3" t="s">
        <v>255</v>
      </c>
      <c r="F45" s="3" t="s">
        <v>256</v>
      </c>
      <c r="G45" s="3" t="s">
        <v>27</v>
      </c>
      <c r="H45" s="3" t="s">
        <v>257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258</v>
      </c>
      <c r="B46" s="3" t="s">
        <v>207</v>
      </c>
      <c r="C46" s="3" t="s">
        <v>208</v>
      </c>
      <c r="D46" s="3" t="s">
        <v>259</v>
      </c>
      <c r="E46" s="3" t="s">
        <v>260</v>
      </c>
      <c r="F46" s="3" t="s">
        <v>261</v>
      </c>
      <c r="G46" s="3" t="s">
        <v>27</v>
      </c>
      <c r="H46" s="3" t="s">
        <v>262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263</v>
      </c>
      <c r="B47" s="3" t="s">
        <v>207</v>
      </c>
      <c r="C47" s="3" t="s">
        <v>208</v>
      </c>
      <c r="D47" s="3" t="s">
        <v>264</v>
      </c>
      <c r="E47" s="3" t="s">
        <v>265</v>
      </c>
      <c r="F47" s="3" t="s">
        <v>266</v>
      </c>
      <c r="G47" s="3" t="s">
        <v>27</v>
      </c>
      <c r="H47" s="3" t="s">
        <v>267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268</v>
      </c>
      <c r="B48" s="3" t="s">
        <v>207</v>
      </c>
      <c r="C48" s="3" t="s">
        <v>208</v>
      </c>
      <c r="D48" s="3" t="s">
        <v>269</v>
      </c>
      <c r="E48" s="3" t="s">
        <v>270</v>
      </c>
      <c r="F48" s="3" t="s">
        <v>271</v>
      </c>
      <c r="G48" s="3" t="s">
        <v>27</v>
      </c>
      <c r="H48" s="3" t="s">
        <v>272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273</v>
      </c>
      <c r="B49" s="3" t="s">
        <v>274</v>
      </c>
      <c r="C49" s="3" t="s">
        <v>208</v>
      </c>
      <c r="D49" s="3" t="s">
        <v>275</v>
      </c>
      <c r="E49" s="3" t="s">
        <v>276</v>
      </c>
      <c r="F49" s="3" t="s">
        <v>277</v>
      </c>
      <c r="G49" s="3" t="s">
        <v>174</v>
      </c>
      <c r="H49" s="3" t="s">
        <v>278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279</v>
      </c>
      <c r="B50" s="3" t="s">
        <v>274</v>
      </c>
      <c r="C50" s="3" t="s">
        <v>208</v>
      </c>
      <c r="D50" s="3" t="s">
        <v>280</v>
      </c>
      <c r="E50" s="3" t="s">
        <v>281</v>
      </c>
      <c r="F50" s="3" t="s">
        <v>282</v>
      </c>
      <c r="G50" s="3" t="s">
        <v>27</v>
      </c>
      <c r="H50" s="3" t="s">
        <v>283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284</v>
      </c>
      <c r="B51" s="3" t="s">
        <v>274</v>
      </c>
      <c r="C51" s="3" t="s">
        <v>208</v>
      </c>
      <c r="D51" s="3" t="s">
        <v>285</v>
      </c>
      <c r="E51" s="3" t="s">
        <v>286</v>
      </c>
      <c r="F51" s="3" t="s">
        <v>287</v>
      </c>
      <c r="G51" s="3" t="s">
        <v>18</v>
      </c>
      <c r="H51" s="3" t="s">
        <v>288</v>
      </c>
      <c r="I51" s="3" t="s">
        <v>289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290</v>
      </c>
      <c r="B52" s="3" t="s">
        <v>291</v>
      </c>
      <c r="C52" s="3" t="s">
        <v>208</v>
      </c>
      <c r="D52" s="3" t="s">
        <v>292</v>
      </c>
      <c r="E52" s="3" t="s">
        <v>293</v>
      </c>
      <c r="F52" s="3" t="s">
        <v>294</v>
      </c>
      <c r="G52" s="3" t="s">
        <v>174</v>
      </c>
      <c r="H52" s="3" t="s">
        <v>295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296</v>
      </c>
      <c r="B53" s="3" t="s">
        <v>291</v>
      </c>
      <c r="C53" s="3" t="s">
        <v>208</v>
      </c>
      <c r="D53" s="3" t="s">
        <v>297</v>
      </c>
      <c r="E53" s="3" t="s">
        <v>298</v>
      </c>
      <c r="F53" s="3" t="s">
        <v>299</v>
      </c>
      <c r="G53" s="3" t="s">
        <v>27</v>
      </c>
      <c r="H53" s="3" t="s">
        <v>300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301</v>
      </c>
      <c r="B54" s="3" t="s">
        <v>291</v>
      </c>
      <c r="C54" s="3" t="s">
        <v>208</v>
      </c>
      <c r="D54" s="3" t="s">
        <v>302</v>
      </c>
      <c r="E54" s="3" t="s">
        <v>303</v>
      </c>
      <c r="F54" s="3" t="s">
        <v>304</v>
      </c>
      <c r="G54" s="3" t="s">
        <v>161</v>
      </c>
      <c r="H54" s="3" t="s">
        <v>305</v>
      </c>
      <c r="I54" s="3"/>
      <c r="J54" s="3" t="s">
        <v>163</v>
      </c>
      <c r="K54" s="3"/>
      <c r="L54" s="3"/>
    </row>
    <row r="55" customFormat="false" ht="23.25" hidden="false" customHeight="true" outlineLevel="0" collapsed="false">
      <c r="A55" s="3" t="s">
        <v>306</v>
      </c>
      <c r="B55" s="3" t="s">
        <v>307</v>
      </c>
      <c r="C55" s="3" t="s">
        <v>208</v>
      </c>
      <c r="D55" s="3" t="s">
        <v>308</v>
      </c>
      <c r="E55" s="3" t="s">
        <v>309</v>
      </c>
      <c r="F55" s="3" t="s">
        <v>310</v>
      </c>
      <c r="G55" s="3" t="s">
        <v>174</v>
      </c>
      <c r="H55" s="3" t="s">
        <v>311</v>
      </c>
      <c r="I55" s="3" t="s">
        <v>29</v>
      </c>
      <c r="J55" s="3" t="s">
        <v>21</v>
      </c>
      <c r="K55" s="3" t="s">
        <v>22</v>
      </c>
      <c r="L55" s="3" t="s">
        <v>312</v>
      </c>
    </row>
    <row r="56" customFormat="false" ht="23.25" hidden="false" customHeight="true" outlineLevel="0" collapsed="false">
      <c r="A56" s="3" t="s">
        <v>313</v>
      </c>
      <c r="B56" s="3" t="s">
        <v>307</v>
      </c>
      <c r="C56" s="3" t="s">
        <v>208</v>
      </c>
      <c r="D56" s="3" t="s">
        <v>314</v>
      </c>
      <c r="E56" s="3" t="s">
        <v>315</v>
      </c>
      <c r="F56" s="3" t="s">
        <v>316</v>
      </c>
      <c r="G56" s="3" t="s">
        <v>27</v>
      </c>
      <c r="H56" s="3" t="s">
        <v>317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318</v>
      </c>
      <c r="B57" s="3" t="s">
        <v>307</v>
      </c>
      <c r="C57" s="3" t="s">
        <v>208</v>
      </c>
      <c r="D57" s="3" t="s">
        <v>319</v>
      </c>
      <c r="E57" s="3" t="s">
        <v>320</v>
      </c>
      <c r="F57" s="3" t="s">
        <v>321</v>
      </c>
      <c r="G57" s="3" t="s">
        <v>27</v>
      </c>
      <c r="H57" s="3" t="s">
        <v>322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323</v>
      </c>
      <c r="B58" s="3" t="s">
        <v>307</v>
      </c>
      <c r="C58" s="3" t="s">
        <v>208</v>
      </c>
      <c r="D58" s="3" t="s">
        <v>324</v>
      </c>
      <c r="E58" s="3" t="s">
        <v>325</v>
      </c>
      <c r="F58" s="3" t="s">
        <v>326</v>
      </c>
      <c r="G58" s="3" t="s">
        <v>27</v>
      </c>
      <c r="H58" s="3" t="s">
        <v>327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328</v>
      </c>
      <c r="B59" s="3" t="s">
        <v>307</v>
      </c>
      <c r="C59" s="3" t="s">
        <v>208</v>
      </c>
      <c r="D59" s="3" t="s">
        <v>329</v>
      </c>
      <c r="E59" s="3" t="s">
        <v>330</v>
      </c>
      <c r="F59" s="3" t="s">
        <v>331</v>
      </c>
      <c r="G59" s="3" t="s">
        <v>27</v>
      </c>
      <c r="H59" s="3" t="s">
        <v>332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333</v>
      </c>
      <c r="B60" s="3" t="s">
        <v>307</v>
      </c>
      <c r="C60" s="3" t="s">
        <v>208</v>
      </c>
      <c r="D60" s="3" t="s">
        <v>334</v>
      </c>
      <c r="E60" s="3" t="s">
        <v>335</v>
      </c>
      <c r="F60" s="3" t="s">
        <v>336</v>
      </c>
      <c r="G60" s="3" t="s">
        <v>27</v>
      </c>
      <c r="H60" s="3" t="s">
        <v>337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338</v>
      </c>
      <c r="B61" s="3" t="s">
        <v>339</v>
      </c>
      <c r="C61" s="3" t="s">
        <v>208</v>
      </c>
      <c r="D61" s="3" t="s">
        <v>340</v>
      </c>
      <c r="E61" s="3" t="s">
        <v>341</v>
      </c>
      <c r="F61" s="3" t="s">
        <v>342</v>
      </c>
      <c r="G61" s="3" t="s">
        <v>27</v>
      </c>
      <c r="H61" s="3" t="s">
        <v>343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344</v>
      </c>
      <c r="B62" s="3" t="s">
        <v>339</v>
      </c>
      <c r="C62" s="3" t="s">
        <v>208</v>
      </c>
      <c r="D62" s="3" t="s">
        <v>345</v>
      </c>
      <c r="E62" s="3" t="s">
        <v>346</v>
      </c>
      <c r="F62" s="3" t="s">
        <v>347</v>
      </c>
      <c r="G62" s="3" t="s">
        <v>27</v>
      </c>
      <c r="H62" s="3" t="s">
        <v>348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349</v>
      </c>
      <c r="B63" s="3" t="s">
        <v>339</v>
      </c>
      <c r="C63" s="3" t="s">
        <v>208</v>
      </c>
      <c r="D63" s="3" t="s">
        <v>350</v>
      </c>
      <c r="E63" s="3" t="s">
        <v>351</v>
      </c>
      <c r="F63" s="3" t="s">
        <v>352</v>
      </c>
      <c r="G63" s="3" t="s">
        <v>27</v>
      </c>
      <c r="H63" s="3" t="s">
        <v>353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354</v>
      </c>
      <c r="B64" s="3" t="s">
        <v>339</v>
      </c>
      <c r="C64" s="3" t="s">
        <v>208</v>
      </c>
      <c r="D64" s="3" t="s">
        <v>355</v>
      </c>
      <c r="E64" s="3" t="s">
        <v>356</v>
      </c>
      <c r="F64" s="3" t="s">
        <v>357</v>
      </c>
      <c r="G64" s="3" t="s">
        <v>27</v>
      </c>
      <c r="H64" s="3" t="s">
        <v>358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359</v>
      </c>
      <c r="B65" s="3" t="s">
        <v>339</v>
      </c>
      <c r="C65" s="3" t="s">
        <v>208</v>
      </c>
      <c r="D65" s="3" t="s">
        <v>360</v>
      </c>
      <c r="E65" s="3" t="s">
        <v>361</v>
      </c>
      <c r="F65" s="3" t="s">
        <v>362</v>
      </c>
      <c r="G65" s="3" t="s">
        <v>161</v>
      </c>
      <c r="H65" s="3" t="s">
        <v>363</v>
      </c>
      <c r="I65" s="3"/>
      <c r="J65" s="3" t="s">
        <v>163</v>
      </c>
      <c r="K65" s="3"/>
      <c r="L65" s="3"/>
    </row>
    <row r="66" customFormat="false" ht="23.25" hidden="false" customHeight="true" outlineLevel="0" collapsed="false">
      <c r="A66" s="3" t="s">
        <v>364</v>
      </c>
      <c r="B66" s="3" t="s">
        <v>365</v>
      </c>
      <c r="C66" s="3" t="s">
        <v>208</v>
      </c>
      <c r="D66" s="3" t="s">
        <v>366</v>
      </c>
      <c r="E66" s="3" t="s">
        <v>367</v>
      </c>
      <c r="F66" s="3" t="s">
        <v>368</v>
      </c>
      <c r="G66" s="3" t="s">
        <v>369</v>
      </c>
      <c r="H66" s="3" t="s">
        <v>370</v>
      </c>
      <c r="I66" s="3" t="s">
        <v>371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372</v>
      </c>
      <c r="B67" s="3" t="s">
        <v>365</v>
      </c>
      <c r="C67" s="3" t="s">
        <v>208</v>
      </c>
      <c r="D67" s="3" t="s">
        <v>373</v>
      </c>
      <c r="E67" s="3" t="s">
        <v>374</v>
      </c>
      <c r="F67" s="3" t="s">
        <v>375</v>
      </c>
      <c r="G67" s="3" t="s">
        <v>376</v>
      </c>
      <c r="H67" s="3" t="s">
        <v>377</v>
      </c>
      <c r="I67" s="3" t="s">
        <v>378</v>
      </c>
      <c r="J67" s="3" t="s">
        <v>21</v>
      </c>
      <c r="K67" s="3" t="s">
        <v>379</v>
      </c>
      <c r="L67" s="3"/>
    </row>
    <row r="68" customFormat="false" ht="15" hidden="false" customHeight="true" outlineLevel="0" collapsed="false">
      <c r="A68" s="3" t="s">
        <v>380</v>
      </c>
      <c r="B68" s="3" t="s">
        <v>365</v>
      </c>
      <c r="C68" s="3" t="s">
        <v>208</v>
      </c>
      <c r="D68" s="3" t="s">
        <v>381</v>
      </c>
      <c r="E68" s="3" t="s">
        <v>382</v>
      </c>
      <c r="F68" s="3" t="s">
        <v>383</v>
      </c>
      <c r="G68" s="3" t="s">
        <v>384</v>
      </c>
      <c r="H68" s="3"/>
      <c r="I68" s="3"/>
      <c r="J68" s="3" t="s">
        <v>163</v>
      </c>
      <c r="K68" s="3"/>
      <c r="L68" s="3"/>
    </row>
  </sheetData>
  <autoFilter ref="A1:L68"/>
  <conditionalFormatting sqref="J2:J68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false" errorStyle="stop" operator="between" showDropDown="false" showErrorMessage="false" showInputMessage="false" sqref="J2:J68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385</v>
      </c>
    </row>
    <row r="2" customFormat="false" ht="15" hidden="false" customHeight="true" outlineLevel="0" collapsed="false">
      <c r="A2" s="5" t="s">
        <v>386</v>
      </c>
    </row>
    <row r="4" customFormat="false" ht="15" hidden="false" customHeight="true" outlineLevel="0" collapsed="false">
      <c r="A4" s="6" t="s">
        <v>1</v>
      </c>
      <c r="B4" s="6" t="s">
        <v>387</v>
      </c>
      <c r="C4" s="6" t="s">
        <v>21</v>
      </c>
      <c r="D4" s="6" t="s">
        <v>388</v>
      </c>
      <c r="E4" s="6" t="s">
        <v>163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cases'!$B$2:$B$68,A5)</f>
        <v>6</v>
      </c>
      <c r="C5" s="7" t="n">
        <f aca="false">COUNTIFS('Test cases'!$B$2:$B$68,$A5,'Test cases'!$J$2:$J$68,"Pass")</f>
        <v>6</v>
      </c>
      <c r="D5" s="7" t="n">
        <f aca="false">COUNTIFS('Test cases'!$B$2:$B$68,$A5,'Test cases'!$J$2:$J$68,"Fail")</f>
        <v>0</v>
      </c>
      <c r="E5" s="7" t="n">
        <f aca="false">COUNTIFS('Test cases'!$B$2:$B$68,$A5,'Test cases'!$J$2:$J$68,"Not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cases'!$B$2:$B$68,A6)</f>
        <v>4</v>
      </c>
      <c r="C6" s="7" t="n">
        <f aca="false">COUNTIFS('Test cases'!$B$2:$B$68,$A6,'Test cases'!$J$2:$J$68,"Pass")</f>
        <v>4</v>
      </c>
      <c r="D6" s="7" t="n">
        <f aca="false">COUNTIFS('Test cases'!$B$2:$B$68,$A6,'Test cases'!$J$2:$J$68,"Fail")</f>
        <v>0</v>
      </c>
      <c r="E6" s="7" t="n">
        <f aca="false">COUNTIFS('Test cases'!$B$2:$B$68,$A6,'Test cases'!$J$2:$J$68,"Not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cases'!$B$2:$B$68,A7)</f>
        <v>5</v>
      </c>
      <c r="C7" s="7" t="n">
        <f aca="false">COUNTIFS('Test cases'!$B$2:$B$68,$A7,'Test cases'!$J$2:$J$68,"Pass")</f>
        <v>5</v>
      </c>
      <c r="D7" s="7" t="n">
        <f aca="false">COUNTIFS('Test cases'!$B$2:$B$68,$A7,'Test cases'!$J$2:$J$68,"Fail")</f>
        <v>0</v>
      </c>
      <c r="E7" s="7" t="n">
        <f aca="false">COUNTIFS('Test cases'!$B$2:$B$68,$A7,'Test cases'!$J$2:$J$68,"Not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cases'!$B$2:$B$68,A8)</f>
        <v>6</v>
      </c>
      <c r="C8" s="7" t="n">
        <f aca="false">COUNTIFS('Test cases'!$B$2:$B$68,$A8,'Test cases'!$J$2:$J$68,"Pass")</f>
        <v>6</v>
      </c>
      <c r="D8" s="7" t="n">
        <f aca="false">COUNTIFS('Test cases'!$B$2:$B$68,$A8,'Test cases'!$J$2:$J$68,"Fail")</f>
        <v>0</v>
      </c>
      <c r="E8" s="7" t="n">
        <f aca="false">COUNTIFS('Test cases'!$B$2:$B$68,$A8,'Test cases'!$J$2:$J$68,"Not run")</f>
        <v>0</v>
      </c>
    </row>
    <row r="9" customFormat="false" ht="15" hidden="false" customHeight="true" outlineLevel="0" collapsed="false">
      <c r="A9" s="7" t="s">
        <v>136</v>
      </c>
      <c r="B9" s="7" t="n">
        <f aca="false">COUNTIF('Test cases'!$B$2:$B$68,A9)</f>
        <v>6</v>
      </c>
      <c r="C9" s="7" t="n">
        <f aca="false">COUNTIFS('Test cases'!$B$2:$B$68,$A9,'Test cases'!$J$2:$J$68,"Pass")</f>
        <v>5</v>
      </c>
      <c r="D9" s="7" t="n">
        <f aca="false">COUNTIFS('Test cases'!$B$2:$B$68,$A9,'Test cases'!$J$2:$J$68,"Fail")</f>
        <v>0</v>
      </c>
      <c r="E9" s="7" t="n">
        <f aca="false">COUNTIFS('Test cases'!$B$2:$B$68,$A9,'Test cases'!$J$2:$J$68,"Not run")</f>
        <v>1</v>
      </c>
    </row>
    <row r="10" customFormat="false" ht="15" hidden="false" customHeight="true" outlineLevel="0" collapsed="false">
      <c r="A10" s="7" t="s">
        <v>170</v>
      </c>
      <c r="B10" s="7" t="n">
        <f aca="false">COUNTIF('Test cases'!$B$2:$B$68,A10)</f>
        <v>7</v>
      </c>
      <c r="C10" s="7" t="n">
        <f aca="false">COUNTIFS('Test cases'!$B$2:$B$68,$A10,'Test cases'!$J$2:$J$68,"Pass")</f>
        <v>7</v>
      </c>
      <c r="D10" s="7" t="n">
        <f aca="false">COUNTIFS('Test cases'!$B$2:$B$68,$A10,'Test cases'!$J$2:$J$68,"Fail")</f>
        <v>0</v>
      </c>
      <c r="E10" s="7" t="n">
        <f aca="false">COUNTIFS('Test cases'!$B$2:$B$68,$A10,'Test cases'!$J$2:$J$68,"Not run")</f>
        <v>0</v>
      </c>
    </row>
    <row r="11" customFormat="false" ht="15" hidden="false" customHeight="true" outlineLevel="0" collapsed="false">
      <c r="A11" s="7" t="s">
        <v>207</v>
      </c>
      <c r="B11" s="7" t="n">
        <f aca="false">COUNTIF('Test cases'!$B$2:$B$68,A11)</f>
        <v>13</v>
      </c>
      <c r="C11" s="7" t="n">
        <f aca="false">COUNTIFS('Test cases'!$B$2:$B$68,$A11,'Test cases'!$J$2:$J$68,"Pass")</f>
        <v>13</v>
      </c>
      <c r="D11" s="7" t="n">
        <f aca="false">COUNTIFS('Test cases'!$B$2:$B$68,$A11,'Test cases'!$J$2:$J$68,"Fail")</f>
        <v>0</v>
      </c>
      <c r="E11" s="7" t="n">
        <f aca="false">COUNTIFS('Test cases'!$B$2:$B$68,$A11,'Test cases'!$J$2:$J$68,"Not run")</f>
        <v>0</v>
      </c>
    </row>
    <row r="12" customFormat="false" ht="15" hidden="false" customHeight="true" outlineLevel="0" collapsed="false">
      <c r="A12" s="7" t="s">
        <v>274</v>
      </c>
      <c r="B12" s="7" t="n">
        <f aca="false">COUNTIF('Test cases'!$B$2:$B$68,A12)</f>
        <v>3</v>
      </c>
      <c r="C12" s="7" t="n">
        <f aca="false">COUNTIFS('Test cases'!$B$2:$B$68,$A12,'Test cases'!$J$2:$J$68,"Pass")</f>
        <v>3</v>
      </c>
      <c r="D12" s="7" t="n">
        <f aca="false">COUNTIFS('Test cases'!$B$2:$B$68,$A12,'Test cases'!$J$2:$J$68,"Fail")</f>
        <v>0</v>
      </c>
      <c r="E12" s="7" t="n">
        <f aca="false">COUNTIFS('Test cases'!$B$2:$B$68,$A12,'Test cases'!$J$2:$J$68,"Not run")</f>
        <v>0</v>
      </c>
    </row>
    <row r="13" customFormat="false" ht="15" hidden="false" customHeight="true" outlineLevel="0" collapsed="false">
      <c r="A13" s="7" t="s">
        <v>291</v>
      </c>
      <c r="B13" s="7" t="n">
        <f aca="false">COUNTIF('Test cases'!$B$2:$B$68,A13)</f>
        <v>3</v>
      </c>
      <c r="C13" s="7" t="n">
        <f aca="false">COUNTIFS('Test cases'!$B$2:$B$68,$A13,'Test cases'!$J$2:$J$68,"Pass")</f>
        <v>2</v>
      </c>
      <c r="D13" s="7" t="n">
        <f aca="false">COUNTIFS('Test cases'!$B$2:$B$68,$A13,'Test cases'!$J$2:$J$68,"Fail")</f>
        <v>0</v>
      </c>
      <c r="E13" s="7" t="n">
        <f aca="false">COUNTIFS('Test cases'!$B$2:$B$68,$A13,'Test cases'!$J$2:$J$68,"Not run")</f>
        <v>1</v>
      </c>
    </row>
    <row r="14" customFormat="false" ht="15" hidden="false" customHeight="true" outlineLevel="0" collapsed="false">
      <c r="A14" s="7" t="s">
        <v>307</v>
      </c>
      <c r="B14" s="7" t="n">
        <f aca="false">COUNTIF('Test cases'!$B$2:$B$68,A14)</f>
        <v>6</v>
      </c>
      <c r="C14" s="7" t="n">
        <f aca="false">COUNTIFS('Test cases'!$B$2:$B$68,$A14,'Test cases'!$J$2:$J$68,"Pass")</f>
        <v>6</v>
      </c>
      <c r="D14" s="7" t="n">
        <f aca="false">COUNTIFS('Test cases'!$B$2:$B$68,$A14,'Test cases'!$J$2:$J$68,"Fail")</f>
        <v>0</v>
      </c>
      <c r="E14" s="7" t="n">
        <f aca="false">COUNTIFS('Test cases'!$B$2:$B$68,$A14,'Test cases'!$J$2:$J$68,"Not run")</f>
        <v>0</v>
      </c>
    </row>
    <row r="15" customFormat="false" ht="15" hidden="false" customHeight="true" outlineLevel="0" collapsed="false">
      <c r="A15" s="7" t="s">
        <v>339</v>
      </c>
      <c r="B15" s="7" t="n">
        <f aca="false">COUNTIF('Test cases'!$B$2:$B$68,A15)</f>
        <v>5</v>
      </c>
      <c r="C15" s="7" t="n">
        <f aca="false">COUNTIFS('Test cases'!$B$2:$B$68,$A15,'Test cases'!$J$2:$J$68,"Pass")</f>
        <v>4</v>
      </c>
      <c r="D15" s="7" t="n">
        <f aca="false">COUNTIFS('Test cases'!$B$2:$B$68,$A15,'Test cases'!$J$2:$J$68,"Fail")</f>
        <v>0</v>
      </c>
      <c r="E15" s="7" t="n">
        <f aca="false">COUNTIFS('Test cases'!$B$2:$B$68,$A15,'Test cases'!$J$2:$J$68,"Not run")</f>
        <v>1</v>
      </c>
    </row>
    <row r="16" customFormat="false" ht="15" hidden="false" customHeight="true" outlineLevel="0" collapsed="false">
      <c r="A16" s="7" t="s">
        <v>365</v>
      </c>
      <c r="B16" s="7" t="n">
        <f aca="false">COUNTIF('Test cases'!$B$2:$B$68,A16)</f>
        <v>3</v>
      </c>
      <c r="C16" s="7" t="n">
        <f aca="false">COUNTIFS('Test cases'!$B$2:$B$68,$A16,'Test cases'!$J$2:$J$68,"Pass")</f>
        <v>2</v>
      </c>
      <c r="D16" s="7" t="n">
        <f aca="false">COUNTIFS('Test cases'!$B$2:$B$68,$A16,'Test cases'!$J$2:$J$68,"Fail")</f>
        <v>0</v>
      </c>
      <c r="E16" s="7" t="n">
        <f aca="false">COUNTIFS('Test cases'!$B$2:$B$68,$A16,'Test cases'!$J$2:$J$68,"Not run")</f>
        <v>1</v>
      </c>
    </row>
    <row r="17" customFormat="false" ht="15" hidden="false" customHeight="true" outlineLevel="0" collapsed="false">
      <c r="A17" s="8" t="s">
        <v>387</v>
      </c>
      <c r="B17" s="8" t="n">
        <f aca="false">SUM(B5:B16)</f>
        <v>67</v>
      </c>
      <c r="C17" s="8" t="n">
        <f aca="false">SUM(C5:C16)</f>
        <v>63</v>
      </c>
      <c r="D17" s="8" t="n">
        <f aca="false">SUM(D5:D16)</f>
        <v>0</v>
      </c>
      <c r="E17" s="8" t="n">
        <f aca="false">SUM(E5:E16)</f>
        <v>4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389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390</v>
      </c>
      <c r="B20" s="7" t="n">
        <f aca="false">COUNTIF('Test cases'!$C$2:$C$68,"1")</f>
        <v>10</v>
      </c>
      <c r="C20" s="7" t="n">
        <f aca="false">COUNTIFS('Test cases'!$C$2:$C$68,"1",'Test cases'!$J$2:$J$68,"Pass")</f>
        <v>10</v>
      </c>
      <c r="D20" s="7"/>
      <c r="E20" s="7"/>
    </row>
    <row r="21" customFormat="false" ht="15" hidden="false" customHeight="true" outlineLevel="0" collapsed="false">
      <c r="A21" s="7" t="s">
        <v>391</v>
      </c>
      <c r="B21" s="7" t="n">
        <f aca="false">COUNTIF('Test cases'!$C$2:$C$68,"2")</f>
        <v>12</v>
      </c>
      <c r="C21" s="7" t="n">
        <f aca="false">COUNTIFS('Test cases'!$C$2:$C$68,"2",'Test cases'!$J$2:$J$68,"Pass")</f>
        <v>12</v>
      </c>
      <c r="D21" s="7"/>
      <c r="E21" s="7"/>
    </row>
    <row r="22" customFormat="false" ht="15" hidden="false" customHeight="true" outlineLevel="0" collapsed="false">
      <c r="A22" s="7" t="s">
        <v>392</v>
      </c>
      <c r="B22" s="7" t="n">
        <f aca="false">COUNTIF('Test cases'!$C$2:$C$68,"3")</f>
        <v>6</v>
      </c>
      <c r="C22" s="7" t="n">
        <f aca="false">COUNTIFS('Test cases'!$C$2:$C$68,"3",'Test cases'!$J$2:$J$68,"Pass")</f>
        <v>6</v>
      </c>
      <c r="D22" s="7"/>
      <c r="E22" s="7"/>
    </row>
    <row r="23" customFormat="false" ht="15" hidden="false" customHeight="true" outlineLevel="0" collapsed="false">
      <c r="A23" s="7" t="s">
        <v>393</v>
      </c>
      <c r="B23" s="7" t="n">
        <f aca="false">COUNTIF('Test cases'!$C$2:$C$68,"4")</f>
        <v>6</v>
      </c>
      <c r="C23" s="7" t="n">
        <f aca="false">COUNTIFS('Test cases'!$C$2:$C$68,"4",'Test cases'!$J$2:$J$68,"Pass")</f>
        <v>5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394</v>
      </c>
    </row>
    <row r="2" customFormat="false" ht="15" hidden="false" customHeight="true" outlineLevel="0" collapsed="false">
      <c r="A2" s="10" t="s">
        <v>395</v>
      </c>
    </row>
    <row r="3" customFormat="false" ht="15" hidden="false" customHeight="true" outlineLevel="0" collapsed="false">
      <c r="A3" s="10" t="s">
        <v>396</v>
      </c>
    </row>
    <row r="4" customFormat="false" ht="23.25" hidden="false" customHeight="true" outlineLevel="0" collapsed="false">
      <c r="A4" s="10" t="s">
        <v>397</v>
      </c>
    </row>
    <row r="5" customFormat="false" ht="15" hidden="false" customHeight="true" outlineLevel="0" collapsed="false">
      <c r="A5" s="10" t="s">
        <v>398</v>
      </c>
    </row>
    <row r="6" customFormat="false" ht="15" hidden="false" customHeight="true" outlineLevel="0" collapsed="false">
      <c r="A6" s="10" t="s">
        <v>399</v>
      </c>
    </row>
    <row r="7" customFormat="false" ht="15" hidden="false" customHeight="true" outlineLevel="0" collapsed="false">
      <c r="A7" s="10" t="s">
        <v>400</v>
      </c>
    </row>
    <row r="8" customFormat="false" ht="15" hidden="false" customHeight="true" outlineLevel="0" collapsed="false">
      <c r="A8" s="10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2026-10-22T16:23:26Z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