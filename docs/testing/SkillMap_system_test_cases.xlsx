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'Test cases'!$A$1:$L$68</definedName>
    <definedName name="_xlnm.Print_Titles" localSheetId="0">'Test cases'!$1:$1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sz val="12"/>
    </font>
  </fonts>
  <fills count="3">
    <fill>
      <patternFill/>
    </fill>
    <fill>
      <patternFill patternType="gray125"/>
    </fill>
    <fill>
      <patternFill patternType="solid">
        <fgColor rgb="FFE7E6E6"/>
        <bgColor rgb="FFFFFFCC"/>
      </patternFill>
    </fill>
  </fills>
  <borders count="3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1" min="1" max="1"/>
    <col width="16" customWidth="1" style="11" min="2" max="2"/>
    <col width="10" customWidth="1" style="11" min="3" max="3"/>
    <col width="30" customWidth="1" style="11" min="4" max="4"/>
    <col width="40" customWidth="1" style="11" min="5" max="5"/>
    <col width="42" customWidth="1" style="11" min="6" max="6"/>
    <col width="16" customWidth="1" style="11" min="7" max="7"/>
    <col width="46" customWidth="1" style="11" min="8" max="8"/>
    <col width="30" customWidth="1" style="11" min="9" max="9"/>
    <col width="10" customWidth="1" style="11" min="10" max="10"/>
    <col width="13" customWidth="1" style="11" min="11" max="11"/>
    <col width="24" customWidth="1" style="11" min="12" max="12"/>
  </cols>
  <sheetData>
    <row r="1" ht="39" customHeight="1" s="12">
      <c r="A1" s="13" t="inlineStr">
        <is>
          <t>ID</t>
        </is>
      </c>
      <c r="B1" s="13" t="inlineStr">
        <is>
          <t>Area</t>
        </is>
      </c>
      <c r="C1" s="13" t="inlineStr">
        <is>
          <t>IR objective</t>
        </is>
      </c>
      <c r="D1" s="13" t="inlineStr">
        <is>
          <t>Test case</t>
        </is>
      </c>
      <c r="E1" s="13" t="inlineStr">
        <is>
          <t>Steps</t>
        </is>
      </c>
      <c r="F1" s="13" t="inlineStr">
        <is>
          <t>Expected result</t>
        </is>
      </c>
      <c r="G1" s="13" t="inlineStr">
        <is>
          <t>How tested</t>
        </is>
      </c>
      <c r="H1" s="13" t="inlineStr">
        <is>
          <t>Evidence</t>
        </is>
      </c>
      <c r="I1" s="13" t="inlineStr">
        <is>
          <t>Actual result</t>
        </is>
      </c>
      <c r="J1" s="13" t="inlineStr">
        <is>
          <t>Status</t>
        </is>
      </c>
      <c r="K1" s="13" t="inlineStr">
        <is>
          <t>Date tested</t>
        </is>
      </c>
      <c r="L1" s="13" t="inlineStr">
        <is>
          <t>Notes</t>
        </is>
      </c>
    </row>
    <row r="2" ht="23.25" customHeight="1" s="12">
      <c r="A2" s="14" t="inlineStr">
        <is>
          <t>TC-01</t>
        </is>
      </c>
      <c r="B2" s="14" t="inlineStr">
        <is>
          <t>Academic skills</t>
        </is>
      </c>
      <c r="C2" s="14" t="inlineStr">
        <is>
          <t>1</t>
        </is>
      </c>
      <c r="D2" s="14" t="inlineStr">
        <is>
          <t>Grades turn modules into skills</t>
        </is>
      </c>
      <c r="E2" s="14" t="inlineStr">
        <is>
          <t>Student opens My Profile &gt; Modules, sets A for Python Programming, saves</t>
        </is>
      </c>
      <c r="F2" s="14" t="inlineStr">
        <is>
          <t>The module turns into its skills: the skill count goes from 0 to 3 (Python, Programming, Debugging) and the grade is saved</t>
        </is>
      </c>
      <c r="G2" s="14" t="inlineStr">
        <is>
          <t>Playwright E2E</t>
        </is>
      </c>
      <c r="H2" s="14" t="inlineStr">
        <is>
          <t>Playwright 22 Oct (13 passed, docs/evidence/e2e/run_2026-10-22.txt): 1-student.spec.js; screenshot docs/evidence/e2e/TC-01_grade_to_skills.png</t>
        </is>
      </c>
      <c r="I2" s="14" t="inlineStr">
        <is>
          <t>Python Programming at A, saved: "3 skills found in your modules" (Python, Programming, Debugging)</t>
        </is>
      </c>
      <c r="J2" s="14" t="inlineStr">
        <is>
          <t>Pass</t>
        </is>
      </c>
      <c r="K2" s="14" t="inlineStr">
        <is>
          <t>22 Oct 2026</t>
        </is>
      </c>
      <c r="L2" s="14" t="n"/>
    </row>
    <row r="3" ht="23.25" customHeight="1" s="12">
      <c r="A3" s="14" t="inlineStr">
        <is>
          <t>TC-02</t>
        </is>
      </c>
      <c r="B3" s="14" t="inlineStr">
        <is>
          <t>Academic skills</t>
        </is>
      </c>
      <c r="C3" s="14" t="inlineStr">
        <is>
          <t>1</t>
        </is>
      </c>
      <c r="D3" s="14" t="inlineStr">
        <is>
          <t>Only pass grades are accepted</t>
        </is>
      </c>
      <c r="E3" s="14" t="inlineStr">
        <is>
          <t>Send a grade below C (e.g. D) for a module</t>
        </is>
      </c>
      <c r="F3" s="14" t="inlineStr">
        <is>
          <t>Refused with 'Grade must be one of A, A-, B+, B, B-, C+ or C'</t>
        </is>
      </c>
      <c r="G3" s="14" t="inlineStr">
        <is>
          <t>Automated</t>
        </is>
      </c>
      <c r="H3" s="14" t="inlineStr">
        <is>
          <t>pytest 21 Oct (137 passed): test_grades.py::test_only_pass_grades_are_accepted</t>
        </is>
      </c>
      <c r="I3" s="14" t="inlineStr">
        <is>
          <t>As expected</t>
        </is>
      </c>
      <c r="J3" s="14" t="inlineStr">
        <is>
          <t>Pass</t>
        </is>
      </c>
      <c r="K3" s="14" t="inlineStr">
        <is>
          <t>21 Oct 2026</t>
        </is>
      </c>
      <c r="L3" s="14" t="n"/>
    </row>
    <row r="4" ht="34.5" customHeight="1" s="12">
      <c r="A4" s="14" t="inlineStr">
        <is>
          <t>TC-03</t>
        </is>
      </c>
      <c r="B4" s="14" t="inlineStr">
        <is>
          <t>Academic skills</t>
        </is>
      </c>
      <c r="C4" s="14" t="inlineStr">
        <is>
          <t>1</t>
        </is>
      </c>
      <c r="D4" s="14" t="inlineStr">
        <is>
          <t>Changing programme asks before removing grades</t>
        </is>
      </c>
      <c r="E4" s="14" t="inlineStr">
        <is>
          <t>Student with grades changes programme</t>
        </is>
      </c>
      <c r="F4" s="14" t="inlineStr">
        <is>
          <t>Asked to confirm; grades removed only after confirming</t>
        </is>
      </c>
      <c r="G4" s="14" t="inlineStr">
        <is>
          <t>Automated</t>
        </is>
      </c>
      <c r="H4" s="14" t="inlineStr">
        <is>
          <t>pytest 21 Oct (137 passed): test_grades.py::test_changing_programme_removes_grades_only_after_confirming</t>
        </is>
      </c>
      <c r="I4" s="14" t="inlineStr">
        <is>
          <t>As expected</t>
        </is>
      </c>
      <c r="J4" s="14" t="inlineStr">
        <is>
          <t>Pass</t>
        </is>
      </c>
      <c r="K4" s="14" t="inlineStr">
        <is>
          <t>21 Oct 2026</t>
        </is>
      </c>
      <c r="L4" s="14" t="n"/>
    </row>
    <row r="5" ht="34.5" customHeight="1" s="12">
      <c r="A5" s="14" t="inlineStr">
        <is>
          <t>TC-04</t>
        </is>
      </c>
      <c r="B5" s="14" t="inlineStr">
        <is>
          <t>Academic skills</t>
        </is>
      </c>
      <c r="C5" s="14" t="inlineStr">
        <is>
          <t>1</t>
        </is>
      </c>
      <c r="D5" s="14" t="inlineStr">
        <is>
          <t>Career office reviews module skills</t>
        </is>
      </c>
      <c r="E5" s="14" t="inlineStr">
        <is>
          <t>Admin opens a module, removes a skill, adds one, marks reviewed</t>
        </is>
      </c>
      <c r="F5" s="14" t="inlineStr">
        <is>
          <t>Changes saved and recorded; students get the reviewed skills</t>
        </is>
      </c>
      <c r="G5" s="14" t="inlineStr">
        <is>
          <t>Automated</t>
        </is>
      </c>
      <c r="H5" s="14" t="inlineStr">
        <is>
          <t>pytest 21 Oct (137 passed): test_extraction_records.py::test_module_extraction_and_career_office_changes</t>
        </is>
      </c>
      <c r="I5" s="14" t="inlineStr">
        <is>
          <t>As expected</t>
        </is>
      </c>
      <c r="J5" s="14" t="inlineStr">
        <is>
          <t>Pass</t>
        </is>
      </c>
      <c r="K5" s="14" t="inlineStr">
        <is>
          <t>21 Oct 2026</t>
        </is>
      </c>
      <c r="L5" s="14" t="n"/>
    </row>
    <row r="6" ht="23.25" customHeight="1" s="12">
      <c r="A6" s="14" t="inlineStr">
        <is>
          <t>TC-05</t>
        </is>
      </c>
      <c r="B6" s="14" t="inlineStr">
        <is>
          <t>Academic skills</t>
        </is>
      </c>
      <c r="C6" s="14" t="inlineStr">
        <is>
          <t>1</t>
        </is>
      </c>
      <c r="D6" s="14" t="inlineStr">
        <is>
          <t>Module skill extraction quality</t>
        </is>
      </c>
      <c r="E6" s="14" t="inlineStr">
        <is>
          <t>Evaluation step 3 + prompt v2 on 30 new modules (3 labellers, rules set beforehand)</t>
        </is>
      </c>
      <c r="F6" s="14" t="inlineStr">
        <is>
          <t>F1 passes the pre-set bar</t>
        </is>
      </c>
      <c r="G6" s="14" t="inlineStr">
        <is>
          <t>Evaluation</t>
        </is>
      </c>
      <c r="H6" s="14" t="inlineStr">
        <is>
          <t>F1 0.746 (v1 0.581); docs/evidence/module_prompt_v2</t>
        </is>
      </c>
      <c r="I6" s="14" t="inlineStr">
        <is>
          <t>As expected</t>
        </is>
      </c>
      <c r="J6" s="14" t="inlineStr">
        <is>
          <t>Pass</t>
        </is>
      </c>
      <c r="K6" s="14" t="inlineStr">
        <is>
          <t>21 Oct 2026</t>
        </is>
      </c>
      <c r="L6" s="14" t="n"/>
    </row>
    <row r="7" ht="23.25" customHeight="1" s="12">
      <c r="A7" s="14" t="inlineStr">
        <is>
          <t>TC-06</t>
        </is>
      </c>
      <c r="B7" s="14" t="inlineStr">
        <is>
          <t>Academic skills</t>
        </is>
      </c>
      <c r="C7" s="14" t="inlineStr">
        <is>
          <t>1</t>
        </is>
      </c>
      <c r="D7" s="14" t="inlineStr">
        <is>
          <t>Job ad skill extraction quality</t>
        </is>
      </c>
      <c r="E7" s="14" t="inlineStr">
        <is>
          <t>Evaluation step 2: LLM extractor vs spaCy baseline on 30 ads</t>
        </is>
      </c>
      <c r="F7" s="14" t="inlineStr">
        <is>
          <t>LLM clearly better than the IR's spaCy approach</t>
        </is>
      </c>
      <c r="G7" s="14" t="inlineStr">
        <is>
          <t>Evaluation</t>
        </is>
      </c>
      <c r="H7" s="14" t="inlineStr">
        <is>
          <t>F1 0.695 vs 0.250 (+0.445, CI +0.369 to +0.521); docs/evidence/job_skill_extraction</t>
        </is>
      </c>
      <c r="I7" s="14" t="inlineStr">
        <is>
          <t>As expected</t>
        </is>
      </c>
      <c r="J7" s="14" t="inlineStr">
        <is>
          <t>Pass</t>
        </is>
      </c>
      <c r="K7" s="14" t="inlineStr">
        <is>
          <t>21 Oct 2026</t>
        </is>
      </c>
      <c r="L7" s="14" t="n"/>
    </row>
    <row r="8" ht="34.5" customHeight="1" s="12">
      <c r="A8" s="14" t="inlineStr">
        <is>
          <t>TC-07</t>
        </is>
      </c>
      <c r="B8" s="14" t="inlineStr">
        <is>
          <t>Profile evidence</t>
        </is>
      </c>
      <c r="C8" s="14" t="inlineStr">
        <is>
          <t>1</t>
        </is>
      </c>
      <c r="D8" s="14" t="inlineStr">
        <is>
          <t>Experience skills only from her own words</t>
        </is>
      </c>
      <c r="E8" s="14" t="inlineStr">
        <is>
          <t>Student adds an internship; AI suggests skills</t>
        </is>
      </c>
      <c r="F8" s="14" t="inlineStr">
        <is>
          <t>Only skills quoted from her description are kept</t>
        </is>
      </c>
      <c r="G8" s="14" t="inlineStr">
        <is>
          <t>Automated</t>
        </is>
      </c>
      <c r="H8" s="14" t="inlineStr">
        <is>
          <t>pytest 21 Oct (137 passed): test_more_evidence.py::test_suggest_keeps_only_skills_in_her_words</t>
        </is>
      </c>
      <c r="I8" s="14" t="inlineStr">
        <is>
          <t>As expected</t>
        </is>
      </c>
      <c r="J8" s="14" t="inlineStr">
        <is>
          <t>Pass</t>
        </is>
      </c>
      <c r="K8" s="14" t="inlineStr">
        <is>
          <t>21 Oct 2026</t>
        </is>
      </c>
      <c r="L8" s="14" t="n"/>
    </row>
    <row r="9" ht="34.5" customHeight="1" s="12">
      <c r="A9" s="14" t="inlineStr">
        <is>
          <t>TC-08</t>
        </is>
      </c>
      <c r="B9" s="14" t="inlineStr">
        <is>
          <t>Profile evidence</t>
        </is>
      </c>
      <c r="C9" s="14" t="inlineStr">
        <is>
          <t>1</t>
        </is>
      </c>
      <c r="D9" s="14" t="inlineStr">
        <is>
          <t>Experience reaches every part of SkillMap</t>
        </is>
      </c>
      <c r="E9" s="14" t="inlineStr">
        <is>
          <t>Add work + club experience, apply for a job</t>
        </is>
      </c>
      <c r="F9" s="14" t="inlineStr">
        <is>
          <t>Skills in the profile, employer view, chatbot CV points, Download my data, and removed on delete</t>
        </is>
      </c>
      <c r="G9" s="14" t="inlineStr">
        <is>
          <t>Automated</t>
        </is>
      </c>
      <c r="H9" s="14" t="inlineStr">
        <is>
          <t>pytest 21 Oct (137 passed): test_more_evidence.py::test_experience_reaches_profile_employer_chatbot_export_and_delete</t>
        </is>
      </c>
      <c r="I9" s="14" t="inlineStr">
        <is>
          <t>As expected</t>
        </is>
      </c>
      <c r="J9" s="14" t="inlineStr">
        <is>
          <t>Pass</t>
        </is>
      </c>
      <c r="K9" s="14" t="inlineStr">
        <is>
          <t>21 Oct 2026</t>
        </is>
      </c>
      <c r="L9" s="14" t="n"/>
    </row>
    <row r="10" ht="57" customHeight="1" s="12">
      <c r="A10" s="14" t="inlineStr">
        <is>
          <t>TC-09</t>
        </is>
      </c>
      <c r="B10" s="14" t="inlineStr">
        <is>
          <t>Profile evidence</t>
        </is>
      </c>
      <c r="C10" s="14" t="inlineStr">
        <is>
          <t>1</t>
        </is>
      </c>
      <c r="D10" s="14" t="inlineStr">
        <is>
          <t>GitHub connect and import</t>
        </is>
      </c>
      <c r="E10" s="14" t="inlineStr">
        <is>
          <t>Student connects GitHub, imports a repository, disconnects</t>
        </is>
      </c>
      <c r="F10" s="14" t="inlineStr">
        <is>
          <t>Repositories listed; import needs a connected account; typed links ignored</t>
        </is>
      </c>
      <c r="G10" s="14" t="inlineStr">
        <is>
          <t>Automated</t>
        </is>
      </c>
      <c r="H10" s="14" t="inlineStr">
        <is>
          <t>pytest 21 Oct (137 passed): test_github_connect.py::test_connect_check_repos_and_disconnect, test_import_needs_a_connected_account_and_typed_link_is_ignored</t>
        </is>
      </c>
      <c r="I10" s="14" t="inlineStr">
        <is>
          <t>As expected</t>
        </is>
      </c>
      <c r="J10" s="14" t="inlineStr">
        <is>
          <t>Pass</t>
        </is>
      </c>
      <c r="K10" s="14" t="inlineStr">
        <is>
          <t>21 Oct 2026</t>
        </is>
      </c>
      <c r="L10" s="14" t="n"/>
    </row>
    <row r="11" ht="23.25" customHeight="1" s="12">
      <c r="A11" s="14" t="inlineStr">
        <is>
          <t>TC-10</t>
        </is>
      </c>
      <c r="B11" s="14" t="inlineStr">
        <is>
          <t>Profile evidence</t>
        </is>
      </c>
      <c r="C11" s="14" t="inlineStr">
        <is>
          <t>1</t>
        </is>
      </c>
      <c r="D11" s="14" t="inlineStr">
        <is>
          <t>Profile checklist</t>
        </is>
      </c>
      <c r="E11" s="14" t="inlineStr">
        <is>
          <t>Student with modules and a project opens My Profile</t>
        </is>
      </c>
      <c r="F11" s="14" t="inlineStr">
        <is>
          <t>'Your profile · 2 of 5 done'; the checklist links to the missing items; hidden when all 5 are done</t>
        </is>
      </c>
      <c r="G11" s="14" t="inlineStr">
        <is>
          <t>Playwright E2E</t>
        </is>
      </c>
      <c r="H11" s="14" t="inlineStr">
        <is>
          <t>Playwright 22 Oct (13 passed, docs/evidence/e2e/run_2026-10-22.txt): 1-student.spec.js; screenshot docs/evidence/e2e/TC-10_profile_checklist.png</t>
        </is>
      </c>
      <c r="I11" s="14" t="inlineStr">
        <is>
          <t>"Your profile · 1 of 5 done"; the checklist ticks Modules and offers Projects, Experience, Certificates, About you</t>
        </is>
      </c>
      <c r="J11" s="14" t="inlineStr">
        <is>
          <t>Pass</t>
        </is>
      </c>
      <c r="K11" s="14" t="inlineStr">
        <is>
          <t>22 Oct 2026</t>
        </is>
      </c>
      <c r="L11" s="14" t="n"/>
    </row>
    <row r="12" ht="23.25" customHeight="1" s="12">
      <c r="A12" s="14" t="inlineStr">
        <is>
          <t>TC-11</t>
        </is>
      </c>
      <c r="B12" s="14" t="inlineStr">
        <is>
          <t>Job recommendation</t>
        </is>
      </c>
      <c r="C12" s="14" t="inlineStr">
        <is>
          <t>2</t>
        </is>
      </c>
      <c r="D12" s="14" t="inlineStr">
        <is>
          <t>Job Matches lists jobs for her skills</t>
        </is>
      </c>
      <c r="E12" s="14" t="inlineStr">
        <is>
          <t>Student with grades opens Job Matches</t>
        </is>
      </c>
      <c r="F12" s="14" t="inlineStr">
        <is>
          <t>Jobs ordered by match, each with matched/required counts</t>
        </is>
      </c>
      <c r="G12" s="14" t="inlineStr">
        <is>
          <t>Playwright E2E</t>
        </is>
      </c>
      <c r="H12" s="14" t="inlineStr">
        <is>
          <t>Playwright 22 Oct (13 passed, docs/evidence/e2e/run_2026-10-22.txt): 1-student.spec.js; screenshot docs/evidence/e2e/TC-11_job_matches.png</t>
        </is>
      </c>
      <c r="I12" s="14" t="inlineStr">
        <is>
          <t>Job Matches lists the 3 open jobs with "1/3 required" or "0/3 required"</t>
        </is>
      </c>
      <c r="J12" s="14" t="inlineStr">
        <is>
          <t>Pass</t>
        </is>
      </c>
      <c r="K12" s="14" t="inlineStr">
        <is>
          <t>22 Oct 2026</t>
        </is>
      </c>
      <c r="L12" s="14" t="n"/>
    </row>
    <row r="13" ht="23.25" customHeight="1" s="12">
      <c r="A13" s="14" t="inlineStr">
        <is>
          <t>TC-12</t>
        </is>
      </c>
      <c r="B13" s="14" t="inlineStr">
        <is>
          <t>Job recommendation</t>
        </is>
      </c>
      <c r="C13" s="14" t="inlineStr">
        <is>
          <t>2</t>
        </is>
      </c>
      <c r="D13" s="14" t="inlineStr">
        <is>
          <t>Ranking better than a keyword baseline</t>
        </is>
      </c>
      <c r="E13" s="14" t="inlineStr">
        <is>
          <t>Evaluation step 4: 10 programme profiles, 3 judges, nDCG@10</t>
        </is>
      </c>
      <c r="F13" s="14" t="inlineStr">
        <is>
          <t>SkillMap beats keyword matching (pre-set rule)</t>
        </is>
      </c>
      <c r="G13" s="14" t="inlineStr">
        <is>
          <t>Evaluation</t>
        </is>
      </c>
      <c r="H13" s="14" t="inlineStr">
        <is>
          <t>nDCG@10 0.796 vs 0.526 (CI +0.213 to +0.323); her spot-check 26/27; docs/evidence/ranking</t>
        </is>
      </c>
      <c r="I13" s="14" t="inlineStr">
        <is>
          <t>As expected</t>
        </is>
      </c>
      <c r="J13" s="14" t="inlineStr">
        <is>
          <t>Pass</t>
        </is>
      </c>
      <c r="K13" s="14" t="inlineStr">
        <is>
          <t>21 Oct 2026</t>
        </is>
      </c>
      <c r="L13" s="14" t="n"/>
    </row>
    <row r="14" ht="23.25" customHeight="1" s="12">
      <c r="A14" s="14" t="inlineStr">
        <is>
          <t>TC-13</t>
        </is>
      </c>
      <c r="B14" s="14" t="inlineStr">
        <is>
          <t>Job recommendation</t>
        </is>
      </c>
      <c r="C14" s="14" t="inlineStr">
        <is>
          <t>2</t>
        </is>
      </c>
      <c r="D14" s="14" t="inlineStr">
        <is>
          <t>Response time</t>
        </is>
      </c>
      <c r="E14" s="14" t="inlineStr">
        <is>
          <t>Evaluation E5: real server, cold and warm requests</t>
        </is>
      </c>
      <c r="F14" s="14" t="inlineStr">
        <is>
          <t>Warm p95 under 1 s; cold under 10 s</t>
        </is>
      </c>
      <c r="G14" s="14" t="inlineStr">
        <is>
          <t>Evaluation</t>
        </is>
      </c>
      <c r="H14" s="14" t="inlineStr">
        <is>
          <t>Job Matches warm p95 0.475 s, cold 3.8-4.0 s; docs/evidence/performance</t>
        </is>
      </c>
      <c r="I14" s="14" t="inlineStr">
        <is>
          <t>As expected</t>
        </is>
      </c>
      <c r="J14" s="14" t="inlineStr">
        <is>
          <t>Pass</t>
        </is>
      </c>
      <c r="K14" s="14" t="inlineStr">
        <is>
          <t>21 Oct 2026</t>
        </is>
      </c>
      <c r="L14" s="14" t="n"/>
    </row>
    <row r="15" ht="34.5" customHeight="1" s="12">
      <c r="A15" s="14" t="inlineStr">
        <is>
          <t>TC-14</t>
        </is>
      </c>
      <c r="B15" s="14" t="inlineStr">
        <is>
          <t>Job recommendation</t>
        </is>
      </c>
      <c r="C15" s="14" t="inlineStr">
        <is>
          <t>2</t>
        </is>
      </c>
      <c r="D15" s="14" t="inlineStr">
        <is>
          <t>Career goal: best-fitting careers first</t>
        </is>
      </c>
      <c r="E15" s="14" t="inlineStr">
        <is>
          <t>Student sets a goal and opens the career picker</t>
        </is>
      </c>
      <c r="F15" s="14" t="inlineStr">
        <is>
          <t>Careers ordered by how many of their top skills she has</t>
        </is>
      </c>
      <c r="G15" s="14" t="inlineStr">
        <is>
          <t>Automated</t>
        </is>
      </c>
      <c r="H15" s="14" t="inlineStr">
        <is>
          <t>pytest 21 Oct (137 passed): test_career_fit.py::test_careers_best_fit_first_with_a_goal_set</t>
        </is>
      </c>
      <c r="I15" s="14" t="inlineStr">
        <is>
          <t>As expected</t>
        </is>
      </c>
      <c r="J15" s="14" t="inlineStr">
        <is>
          <t>Pass</t>
        </is>
      </c>
      <c r="K15" s="14" t="inlineStr">
        <is>
          <t>21 Oct 2026</t>
        </is>
      </c>
      <c r="L15" s="14" t="n"/>
    </row>
    <row r="16" ht="23.25" customHeight="1" s="12">
      <c r="A16" s="14" t="inlineStr">
        <is>
          <t>TC-15</t>
        </is>
      </c>
      <c r="B16" s="14" t="inlineStr">
        <is>
          <t>Job recommendation</t>
        </is>
      </c>
      <c r="C16" s="14" t="inlineStr">
        <is>
          <t>2</t>
        </is>
      </c>
      <c r="D16" s="14" t="inlineStr">
        <is>
          <t>Faster matching gives identical answers</t>
        </is>
      </c>
      <c r="E16" s="14" t="inlineStr">
        <is>
          <t>Run old and new matching on the same data</t>
        </is>
      </c>
      <c r="F16" s="14" t="inlineStr">
        <is>
          <t>Same results</t>
        </is>
      </c>
      <c r="G16" s="14" t="inlineStr">
        <is>
          <t>Automated</t>
        </is>
      </c>
      <c r="H16" s="14" t="inlineStr">
        <is>
          <t>pytest 21 Oct (137 passed): test_match_speed.py::test_same_answers_as_before</t>
        </is>
      </c>
      <c r="I16" s="14" t="inlineStr">
        <is>
          <t>As expected</t>
        </is>
      </c>
      <c r="J16" s="14" t="inlineStr">
        <is>
          <t>Pass</t>
        </is>
      </c>
      <c r="K16" s="14" t="inlineStr">
        <is>
          <t>21 Oct 2026</t>
        </is>
      </c>
      <c r="L16" s="14" t="n"/>
    </row>
    <row r="17" ht="23.25" customHeight="1" s="12">
      <c r="A17" s="14" t="inlineStr">
        <is>
          <t>TC-16</t>
        </is>
      </c>
      <c r="B17" s="14" t="inlineStr">
        <is>
          <t>Skill gap</t>
        </is>
      </c>
      <c r="C17" s="14" t="inlineStr">
        <is>
          <t>3</t>
        </is>
      </c>
      <c r="D17" s="14" t="inlineStr">
        <is>
          <t>Job Detail explains match and gap</t>
        </is>
      </c>
      <c r="E17" s="14" t="inlineStr">
        <is>
          <t>Student opens a job she partly fits</t>
        </is>
      </c>
      <c r="F17" s="14" t="inlineStr">
        <is>
          <t>Matched skills with where each came from; missing required skills; 'Learn' links</t>
        </is>
      </c>
      <c r="G17" s="14" t="inlineStr">
        <is>
          <t>Playwright E2E</t>
        </is>
      </c>
      <c r="H17" s="14" t="inlineStr">
        <is>
          <t>Playwright 22 Oct (13 passed, docs/evidence/e2e/run_2026-10-22.txt): 1-student.spec.js; screenshot docs/evidence/e2e/TC-16_job_detail_gap.png</t>
        </is>
      </c>
      <c r="I17" s="14" t="inlineStr">
        <is>
          <t>33%, you have 1 of 3; Skill Gap Analysis: Python matched (her module), SQL and Git missing, each with Learn</t>
        </is>
      </c>
      <c r="J17" s="14" t="inlineStr">
        <is>
          <t>Pass</t>
        </is>
      </c>
      <c r="K17" s="14" t="inlineStr">
        <is>
          <t>22 Oct 2026</t>
        </is>
      </c>
      <c r="L17" s="14" t="n"/>
    </row>
    <row r="18" ht="34.5" customHeight="1" s="12">
      <c r="A18" s="14" t="inlineStr">
        <is>
          <t>TC-17</t>
        </is>
      </c>
      <c r="B18" s="14" t="inlineStr">
        <is>
          <t>Skill gap</t>
        </is>
      </c>
      <c r="C18" s="14" t="inlineStr">
        <is>
          <t>3</t>
        </is>
      </c>
      <c r="D18" s="14" t="inlineStr">
        <is>
          <t>What-if: missing skills and the jobs they open</t>
        </is>
      </c>
      <c r="E18" s="14" t="inlineStr">
        <is>
          <t>Dashboard 'Still to learn' with a goal set</t>
        </is>
      </c>
      <c r="F18" s="14" t="inlineStr">
        <is>
          <t>Each missing skill shows how many more jobs she would fit</t>
        </is>
      </c>
      <c r="G18" s="14" t="inlineStr">
        <is>
          <t>Automated</t>
        </is>
      </c>
      <c r="H18" s="14" t="inlineStr">
        <is>
          <t>pytest 21 Oct (137 passed): test_whatif.py::test_each_missing_skill_shows_the_jobs_it_would_open</t>
        </is>
      </c>
      <c r="I18" s="14" t="inlineStr">
        <is>
          <t>As expected</t>
        </is>
      </c>
      <c r="J18" s="14" t="inlineStr">
        <is>
          <t>Pass</t>
        </is>
      </c>
      <c r="K18" s="14" t="inlineStr">
        <is>
          <t>21 Oct 2026</t>
        </is>
      </c>
      <c r="L18" s="14" t="n"/>
    </row>
    <row r="19" ht="34.5" customHeight="1" s="12">
      <c r="A19" s="14" t="inlineStr">
        <is>
          <t>TC-18</t>
        </is>
      </c>
      <c r="B19" s="14" t="inlineStr">
        <is>
          <t>Skill gap</t>
        </is>
      </c>
      <c r="C19" s="14" t="inlineStr">
        <is>
          <t>3</t>
        </is>
      </c>
      <c r="D19" s="14" t="inlineStr">
        <is>
          <t>What the ad asks for besides skills</t>
        </is>
      </c>
      <c r="E19" s="14" t="inlineStr">
        <is>
          <t>Open a live job whose ad names a degree and languages</t>
        </is>
      </c>
      <c r="F19" s="14" t="inlineStr">
        <is>
          <t>Pills for qualification, field, languages; no citizenship</t>
        </is>
      </c>
      <c r="G19" s="14" t="inlineStr">
        <is>
          <t>Automated</t>
        </is>
      </c>
      <c r="H19" s="14" t="inlineStr">
        <is>
          <t>pytest 21 Oct (137 passed): test_ad_requirements.py::test_live_job_requirements_read_by_the_rules_without_citizenship</t>
        </is>
      </c>
      <c r="I19" s="14" t="inlineStr">
        <is>
          <t>As expected</t>
        </is>
      </c>
      <c r="J19" s="14" t="inlineStr">
        <is>
          <t>Pass</t>
        </is>
      </c>
      <c r="K19" s="14" t="inlineStr">
        <is>
          <t>21 Oct 2026</t>
        </is>
      </c>
      <c r="L19" s="14" t="n"/>
    </row>
    <row r="20" ht="34.5" customHeight="1" s="12">
      <c r="A20" s="14" t="inlineStr">
        <is>
          <t>TC-19</t>
        </is>
      </c>
      <c r="B20" s="14" t="inlineStr">
        <is>
          <t>Skill gap</t>
        </is>
      </c>
      <c r="C20" s="14" t="inlineStr">
        <is>
          <t>3</t>
        </is>
      </c>
      <c r="D20" s="14" t="inlineStr">
        <is>
          <t>Skills gained in the role are not counted</t>
        </is>
      </c>
      <c r="E20" s="14" t="inlineStr">
        <is>
          <t>Job with skills taught on the job</t>
        </is>
      </c>
      <c r="F20" s="14" t="inlineStr">
        <is>
          <t>Listed separately, not in the match</t>
        </is>
      </c>
      <c r="G20" s="14" t="inlineStr">
        <is>
          <t>Automated</t>
        </is>
      </c>
      <c r="H20" s="14" t="inlineStr">
        <is>
          <t>pytest 21 Oct (137 passed): test_ad_requirements.py::test_skills_gained_in_the_role_are_listed_not_counted</t>
        </is>
      </c>
      <c r="I20" s="14" t="inlineStr">
        <is>
          <t>As expected</t>
        </is>
      </c>
      <c r="J20" s="14" t="inlineStr">
        <is>
          <t>Pass</t>
        </is>
      </c>
      <c r="K20" s="14" t="inlineStr">
        <is>
          <t>21 Oct 2026</t>
        </is>
      </c>
      <c r="L20" s="14" t="n"/>
    </row>
    <row r="21" ht="23.25" customHeight="1" s="12">
      <c r="A21" s="14" t="inlineStr">
        <is>
          <t>TC-20</t>
        </is>
      </c>
      <c r="B21" s="14" t="inlineStr">
        <is>
          <t>Skill gap</t>
        </is>
      </c>
      <c r="C21" s="14" t="inlineStr">
        <is>
          <t>3</t>
        </is>
      </c>
      <c r="D21" s="14" t="inlineStr">
        <is>
          <t>No invented job descriptions</t>
        </is>
      </c>
      <c r="E21" s="14" t="inlineStr">
        <is>
          <t>AI formats a live ad; employer post shown</t>
        </is>
      </c>
      <c r="F21" s="14" t="inlineStr">
        <is>
          <t>Employer posts shown as written; invented answers dropped</t>
        </is>
      </c>
      <c r="G21" s="14" t="inlineStr">
        <is>
          <t>Automated</t>
        </is>
      </c>
      <c r="H21" s="14" t="inlineStr">
        <is>
          <t>pytest 21 Oct (137 passed): test_description_grounding.py (3 tests)</t>
        </is>
      </c>
      <c r="I21" s="14" t="inlineStr">
        <is>
          <t>As expected</t>
        </is>
      </c>
      <c r="J21" s="14" t="inlineStr">
        <is>
          <t>Pass</t>
        </is>
      </c>
      <c r="K21" s="14" t="inlineStr">
        <is>
          <t>21 Oct 2026</t>
        </is>
      </c>
      <c r="L21" s="14" t="n"/>
    </row>
    <row r="22" ht="34.5" customHeight="1" s="12">
      <c r="A22" s="14" t="inlineStr">
        <is>
          <t>TC-21</t>
        </is>
      </c>
      <c r="B22" s="14" t="inlineStr">
        <is>
          <t>Skill gap</t>
        </is>
      </c>
      <c r="C22" s="14" t="inlineStr">
        <is>
          <t>3</t>
        </is>
      </c>
      <c r="D22" s="14" t="inlineStr">
        <is>
          <t>Preview shows exactly what the employer sees</t>
        </is>
      </c>
      <c r="E22" s="14" t="inlineStr">
        <is>
          <t>Student opens 'Check what they'll see' for a job</t>
        </is>
      </c>
      <c r="F22" s="14" t="inlineStr">
        <is>
          <t>Same profile and match as the employer's applicant page</t>
        </is>
      </c>
      <c r="G22" s="14" t="inlineStr">
        <is>
          <t>Automated</t>
        </is>
      </c>
      <c r="H22" s="14" t="inlineStr">
        <is>
          <t>pytest 21 Oct (137 passed): test_employer_preview.py::test_preview_for_a_job_matches_the_employer_view</t>
        </is>
      </c>
      <c r="I22" s="14" t="inlineStr">
        <is>
          <t>As expected</t>
        </is>
      </c>
      <c r="J22" s="14" t="inlineStr">
        <is>
          <t>Pass</t>
        </is>
      </c>
      <c r="K22" s="14" t="inlineStr">
        <is>
          <t>21 Oct 2026</t>
        </is>
      </c>
      <c r="L22" s="14" t="n"/>
    </row>
    <row r="23" ht="34.5" customHeight="1" s="12">
      <c r="A23" s="14" t="inlineStr">
        <is>
          <t>TC-22</t>
        </is>
      </c>
      <c r="B23" s="14" t="inlineStr">
        <is>
          <t>AI assistant</t>
        </is>
      </c>
      <c r="C23" s="14" t="inlineStr">
        <is>
          <t>4</t>
        </is>
      </c>
      <c r="D23" s="14" t="inlineStr">
        <is>
          <t>Learning plan with checked links</t>
        </is>
      </c>
      <c r="E23" s="14" t="inlineStr">
        <is>
          <t>Student asks for a plan for a missing skill</t>
        </is>
      </c>
      <c r="F23" s="14" t="inlineStr">
        <is>
          <t>Plan with only checked links and a final 'add it to SkillMap' step</t>
        </is>
      </c>
      <c r="G23" s="14" t="inlineStr">
        <is>
          <t>Automated</t>
        </is>
      </c>
      <c r="H23" s="14" t="inlineStr">
        <is>
          <t>pytest 21 Oct (137 passed): test_learning_plan.py::test_plan_gets_the_my_profile_step_and_only_checked_links</t>
        </is>
      </c>
      <c r="I23" s="14" t="inlineStr">
        <is>
          <t>As expected</t>
        </is>
      </c>
      <c r="J23" s="14" t="inlineStr">
        <is>
          <t>Pass</t>
        </is>
      </c>
      <c r="K23" s="14" t="inlineStr">
        <is>
          <t>21 Oct 2026</t>
        </is>
      </c>
      <c r="L23" s="14" t="n"/>
    </row>
    <row r="24" ht="34.5" customHeight="1" s="12">
      <c r="A24" s="14" t="inlineStr">
        <is>
          <t>TC-23</t>
        </is>
      </c>
      <c r="B24" s="14" t="inlineStr">
        <is>
          <t>AI assistant</t>
        </is>
      </c>
      <c r="C24" s="14" t="inlineStr">
        <is>
          <t>4</t>
        </is>
      </c>
      <c r="D24" s="14" t="inlineStr">
        <is>
          <t>Learning plan as PDF</t>
        </is>
      </c>
      <c r="E24" s="14" t="inlineStr">
        <is>
          <t>Download the plan</t>
        </is>
      </c>
      <c r="F24" s="14" t="inlineStr">
        <is>
          <t>A PDF that prints on several pages</t>
        </is>
      </c>
      <c r="G24" s="14" t="inlineStr">
        <is>
          <t>Automated</t>
        </is>
      </c>
      <c r="H24" s="14" t="inlineStr">
        <is>
          <t>pytest 21 Oct (137 passed): test_learning_plan.py::test_download_plan_as_pdf, test_a_long_plan_prints_on_several_pages</t>
        </is>
      </c>
      <c r="I24" s="14" t="inlineStr">
        <is>
          <t>As expected</t>
        </is>
      </c>
      <c r="J24" s="14" t="inlineStr">
        <is>
          <t>Pass</t>
        </is>
      </c>
      <c r="K24" s="14" t="inlineStr">
        <is>
          <t>21 Oct 2026</t>
        </is>
      </c>
      <c r="L24" s="14" t="n"/>
    </row>
    <row r="25" ht="34.5" customHeight="1" s="12">
      <c r="A25" s="14" t="inlineStr">
        <is>
          <t>TC-24</t>
        </is>
      </c>
      <c r="B25" s="14" t="inlineStr">
        <is>
          <t>AI assistant</t>
        </is>
      </c>
      <c r="C25" s="14" t="inlineStr">
        <is>
          <t>4</t>
        </is>
      </c>
      <c r="D25" s="14" t="inlineStr">
        <is>
          <t>CV points from her own profile only</t>
        </is>
      </c>
      <c r="E25" s="14" t="inlineStr">
        <is>
          <t>Ask for CV points</t>
        </is>
      </c>
      <c r="F25" s="14" t="inlineStr">
        <is>
          <t>Points use only her projects and modules</t>
        </is>
      </c>
      <c r="G25" s="14" t="inlineStr">
        <is>
          <t>Automated</t>
        </is>
      </c>
      <c r="H25" s="14" t="inlineStr">
        <is>
          <t>pytest 21 Oct (137 passed): test_counsellor_cv.py::test_cv_points_use_only_her_own_profile</t>
        </is>
      </c>
      <c r="I25" s="14" t="inlineStr">
        <is>
          <t>As expected</t>
        </is>
      </c>
      <c r="J25" s="14" t="inlineStr">
        <is>
          <t>Pass</t>
        </is>
      </c>
      <c r="K25" s="14" t="inlineStr">
        <is>
          <t>21 Oct 2026</t>
        </is>
      </c>
      <c r="L25" s="14" t="n"/>
    </row>
    <row r="26" ht="34.5" customHeight="1" s="12">
      <c r="A26" s="14" t="inlineStr">
        <is>
          <t>TC-25</t>
        </is>
      </c>
      <c r="B26" s="14" t="inlineStr">
        <is>
          <t>AI assistant</t>
        </is>
      </c>
      <c r="C26" s="14" t="inlineStr">
        <is>
          <t>4</t>
        </is>
      </c>
      <c r="D26" s="14" t="inlineStr">
        <is>
          <t>Interview preparation for a shortlisted job</t>
        </is>
      </c>
      <c r="E26" s="14" t="inlineStr">
        <is>
          <t>Shortlisted student clicks 'Prepare for the interview'</t>
        </is>
      </c>
      <c r="F26" s="14" t="inlineStr">
        <is>
          <t>The assistant gets the job ad and her match</t>
        </is>
      </c>
      <c r="G26" s="14" t="inlineStr">
        <is>
          <t>Automated</t>
        </is>
      </c>
      <c r="H26" s="14" t="inlineStr">
        <is>
          <t>pytest 21 Oct (137 passed): test_employer_preview.py::test_interview_preparation_gets_the_job_ad</t>
        </is>
      </c>
      <c r="I26" s="14" t="inlineStr">
        <is>
          <t>As expected</t>
        </is>
      </c>
      <c r="J26" s="14" t="inlineStr">
        <is>
          <t>Pass</t>
        </is>
      </c>
      <c r="K26" s="14" t="inlineStr">
        <is>
          <t>21 Oct 2026</t>
        </is>
      </c>
      <c r="L26" s="14" t="n"/>
    </row>
    <row r="27" ht="15" customHeight="1" s="12">
      <c r="A27" s="14" t="inlineStr">
        <is>
          <t>TC-26</t>
        </is>
      </c>
      <c r="B27" s="14" t="inlineStr">
        <is>
          <t>AI assistant</t>
        </is>
      </c>
      <c r="C27" s="14" t="inlineStr">
        <is>
          <t>4</t>
        </is>
      </c>
      <c r="D27" s="14" t="inlineStr">
        <is>
          <t>Chat answers and is kept</t>
        </is>
      </c>
      <c r="E27" s="14" t="inlineStr">
        <is>
          <t>Ask a question, leave, come back</t>
        </is>
      </c>
      <c r="F27" s="14" t="inlineStr">
        <is>
          <t>Answer shown; the chat is listed and reopens</t>
        </is>
      </c>
      <c r="G27" s="14" t="inlineStr">
        <is>
          <t>Manual</t>
        </is>
      </c>
      <c r="H27" s="14" t="inlineStr">
        <is>
          <t>Needs the Groq key and MongoDB</t>
        </is>
      </c>
      <c r="I27" s="14" t="n"/>
      <c r="J27" s="14" t="inlineStr">
        <is>
          <t>Not run</t>
        </is>
      </c>
      <c r="K27" s="14" t="n"/>
      <c r="L27" s="14" t="n"/>
    </row>
    <row r="28" ht="34.5" customHeight="1" s="12">
      <c r="A28" s="14" t="inlineStr">
        <is>
          <t>TC-27</t>
        </is>
      </c>
      <c r="B28" s="14" t="inlineStr">
        <is>
          <t>AI assistant</t>
        </is>
      </c>
      <c r="C28" s="14" t="inlineStr">
        <is>
          <t>4</t>
        </is>
      </c>
      <c r="D28" s="14" t="inlineStr">
        <is>
          <t>Chats expire after 18 months unused</t>
        </is>
      </c>
      <c r="E28" s="14" t="inlineStr">
        <is>
          <t>Chat not used for 18 months</t>
        </is>
      </c>
      <c r="F28" s="14" t="inlineStr">
        <is>
          <t>Removed</t>
        </is>
      </c>
      <c r="G28" s="14" t="inlineStr">
        <is>
          <t>Automated</t>
        </is>
      </c>
      <c r="H28" s="14" t="inlineStr">
        <is>
          <t>pytest 21 Oct (137 passed): test_audit_fixes.py::test_chats_expire_after_18_months_without_use</t>
        </is>
      </c>
      <c r="I28" s="14" t="inlineStr">
        <is>
          <t>As expected</t>
        </is>
      </c>
      <c r="J28" s="14" t="inlineStr">
        <is>
          <t>Pass</t>
        </is>
      </c>
      <c r="K28" s="14" t="inlineStr">
        <is>
          <t>21 Oct 2026</t>
        </is>
      </c>
      <c r="L28" s="14" t="n"/>
    </row>
    <row r="29" ht="23.25" customHeight="1" s="12">
      <c r="A29" s="14" t="inlineStr">
        <is>
          <t>TC-28</t>
        </is>
      </c>
      <c r="B29" s="14" t="inlineStr">
        <is>
          <t>Applications</t>
        </is>
      </c>
      <c r="C29" s="14" t="inlineStr">
        <is>
          <t>2</t>
        </is>
      </c>
      <c r="D29" s="14" t="inlineStr">
        <is>
          <t>Apply once; progress starts at Applied</t>
        </is>
      </c>
      <c r="E29" s="14" t="inlineStr">
        <is>
          <t>Student applies on SkillMap</t>
        </is>
      </c>
      <c r="F29" s="14" t="inlineStr">
        <is>
          <t>One application; My Applications shows Applied with the date</t>
        </is>
      </c>
      <c r="G29" s="14" t="inlineStr">
        <is>
          <t>Automated + Playwright E2E</t>
        </is>
      </c>
      <c r="H29" s="14" t="inlineStr">
        <is>
          <t>pytest 21 Oct (137 passed): test_applications.py::test_apply_once_with_progress; Playwright 22 Oct (13 passed, docs/evidence/e2e/run_2026-10-22.txt): 1-student.spec.js; screenshot docs/evidence/e2e/TC-28_applied.png</t>
        </is>
      </c>
      <c r="I29" s="14" t="inlineStr">
        <is>
          <t>As expected</t>
        </is>
      </c>
      <c r="J29" s="14" t="inlineStr">
        <is>
          <t>Pass</t>
        </is>
      </c>
      <c r="K29" s="14" t="inlineStr">
        <is>
          <t>22 Oct 2026</t>
        </is>
      </c>
      <c r="L29" s="14" t="n"/>
    </row>
    <row r="30" ht="34.5" customHeight="1" s="12">
      <c r="A30" s="14" t="inlineStr">
        <is>
          <t>TC-29</t>
        </is>
      </c>
      <c r="B30" s="14" t="inlineStr">
        <is>
          <t>Applications</t>
        </is>
      </c>
      <c r="C30" s="14" t="inlineStr">
        <is>
          <t>2</t>
        </is>
      </c>
      <c r="D30" s="14" t="inlineStr">
        <is>
          <t>Two clicks at once give one application</t>
        </is>
      </c>
      <c r="E30" s="14" t="inlineStr">
        <is>
          <t>Apply twice at the same moment</t>
        </is>
      </c>
      <c r="F30" s="14" t="inlineStr">
        <is>
          <t>One application, no server error</t>
        </is>
      </c>
      <c r="G30" s="14" t="inlineStr">
        <is>
          <t>Automated</t>
        </is>
      </c>
      <c r="H30" s="14" t="inlineStr">
        <is>
          <t>pytest 21 Oct (137 passed): test_applications.py::test_simultaneous_applies_give_one_application_no_server_error</t>
        </is>
      </c>
      <c r="I30" s="14" t="inlineStr">
        <is>
          <t>As expected</t>
        </is>
      </c>
      <c r="J30" s="14" t="inlineStr">
        <is>
          <t>Pass</t>
        </is>
      </c>
      <c r="K30" s="14" t="inlineStr">
        <is>
          <t>21 Oct 2026</t>
        </is>
      </c>
      <c r="L30" s="14" t="n"/>
    </row>
    <row r="31" ht="34.5" customHeight="1" s="12">
      <c r="A31" s="14" t="inlineStr">
        <is>
          <t>TC-30</t>
        </is>
      </c>
      <c r="B31" s="14" t="inlineStr">
        <is>
          <t>Applications</t>
        </is>
      </c>
      <c r="C31" s="14" t="inlineStr">
        <is>
          <t>2</t>
        </is>
      </c>
      <c r="D31" s="14" t="inlineStr">
        <is>
          <t>Closed, gone or outside jobs can't be applied for here</t>
        </is>
      </c>
      <c r="E31" s="14" t="inlineStr">
        <is>
          <t>Apply to a closed job or a live ad</t>
        </is>
      </c>
      <c r="F31" s="14" t="inlineStr">
        <is>
          <t>Refused with a clear message</t>
        </is>
      </c>
      <c r="G31" s="14" t="inlineStr">
        <is>
          <t>Automated</t>
        </is>
      </c>
      <c r="H31" s="14" t="inlineStr">
        <is>
          <t>pytest 21 Oct (137 passed): test_applications.py::test_cannot_apply_to_closed_or_gone_or_live_jobs</t>
        </is>
      </c>
      <c r="I31" s="14" t="inlineStr">
        <is>
          <t>As expected</t>
        </is>
      </c>
      <c r="J31" s="14" t="inlineStr">
        <is>
          <t>Pass</t>
        </is>
      </c>
      <c r="K31" s="14" t="inlineStr">
        <is>
          <t>21 Oct 2026</t>
        </is>
      </c>
      <c r="L31" s="14" t="n"/>
    </row>
    <row r="32" ht="34.5" customHeight="1" s="12">
      <c r="A32" s="14" t="inlineStr">
        <is>
          <t>TC-31</t>
        </is>
      </c>
      <c r="B32" s="14" t="inlineStr">
        <is>
          <t>Applications</t>
        </is>
      </c>
      <c r="C32" s="14" t="inlineStr">
        <is>
          <t>2</t>
        </is>
      </c>
      <c r="D32" s="14" t="inlineStr">
        <is>
          <t>Employer sees the application as sent</t>
        </is>
      </c>
      <c r="E32" s="14" t="inlineStr">
        <is>
          <t>Student applies, then changes her profile</t>
        </is>
      </c>
      <c r="F32" s="14" t="inlineStr">
        <is>
          <t>Employer sees the sent copy first, with 'See latest'</t>
        </is>
      </c>
      <c r="G32" s="14" t="inlineStr">
        <is>
          <t>Automated + Playwright E2E</t>
        </is>
      </c>
      <c r="H32" s="14" t="inlineStr">
        <is>
          <t>pytest 21 Oct (137 passed): test_employer_preview.py::test_employer_sees_what_was_sent_then_the_latest; Playwright 22 Oct (13 passed, docs/evidence/e2e/run_2026-10-22.txt): 2-employer.spec.js; screenshot docs/evidence/e2e/TC-31_applicants.png</t>
        </is>
      </c>
      <c r="I32" s="14" t="inlineStr">
        <is>
          <t>As expected</t>
        </is>
      </c>
      <c r="J32" s="14" t="inlineStr">
        <is>
          <t>Pass</t>
        </is>
      </c>
      <c r="K32" s="14" t="inlineStr">
        <is>
          <t>22 Oct 2026</t>
        </is>
      </c>
      <c r="L32" s="14" t="n"/>
    </row>
    <row r="33" ht="34.5" customHeight="1" s="12">
      <c r="A33" s="14" t="inlineStr">
        <is>
          <t>TC-32</t>
        </is>
      </c>
      <c r="B33" s="14" t="inlineStr">
        <is>
          <t>Applications</t>
        </is>
      </c>
      <c r="C33" s="14" t="inlineStr">
        <is>
          <t>2</t>
        </is>
      </c>
      <c r="D33" s="14" t="inlineStr">
        <is>
          <t>Applications made before copies were kept</t>
        </is>
      </c>
      <c r="E33" s="14" t="inlineStr">
        <is>
          <t>Open an old application with no saved copy</t>
        </is>
      </c>
      <c r="F33" s="14" t="inlineStr">
        <is>
          <t>Employer sees the latest profile, no version bar; student sees no change note</t>
        </is>
      </c>
      <c r="G33" s="14" t="inlineStr">
        <is>
          <t>Automated</t>
        </is>
      </c>
      <c r="H33" s="14" t="inlineStr">
        <is>
          <t>pytest 22 Oct (140 passed): test_edit_job.py::test_an_application_from_before_copies_were_kept_still_shows</t>
        </is>
      </c>
      <c r="I33" s="14" t="inlineStr">
        <is>
          <t>As expected</t>
        </is>
      </c>
      <c r="J33" s="14" t="inlineStr">
        <is>
          <t>Pass</t>
        </is>
      </c>
      <c r="K33" s="14" t="inlineStr">
        <is>
          <t>21 Oct 2026</t>
        </is>
      </c>
      <c r="L33" s="14" t="n"/>
    </row>
    <row r="34" ht="23.25" customHeight="1" s="12">
      <c r="A34" s="14" t="inlineStr">
        <is>
          <t>TC-33</t>
        </is>
      </c>
      <c r="B34" s="14" t="inlineStr">
        <is>
          <t>Applications</t>
        </is>
      </c>
      <c r="C34" s="14" t="inlineStr">
        <is>
          <t>2</t>
        </is>
      </c>
      <c r="D34" s="14" t="inlineStr">
        <is>
          <t>Applications on other sites</t>
        </is>
      </c>
      <c r="E34" s="14" t="inlineStr">
        <is>
          <t>Record, update and undo an outside application</t>
        </is>
      </c>
      <c r="F34" s="14" t="inlineStr">
        <is>
          <t>Saved, updated, undone; included in Download my data</t>
        </is>
      </c>
      <c r="G34" s="14" t="inlineStr">
        <is>
          <t>Automated</t>
        </is>
      </c>
      <c r="H34" s="14" t="inlineStr">
        <is>
          <t>pytest 21 Oct (137 passed): test_outside_applications.py (4 tests)</t>
        </is>
      </c>
      <c r="I34" s="14" t="inlineStr">
        <is>
          <t>As expected</t>
        </is>
      </c>
      <c r="J34" s="14" t="inlineStr">
        <is>
          <t>Pass</t>
        </is>
      </c>
      <c r="K34" s="14" t="inlineStr">
        <is>
          <t>21 Oct 2026</t>
        </is>
      </c>
      <c r="L34" s="14" t="n"/>
    </row>
    <row r="35" ht="34.5" customHeight="1" s="12">
      <c r="A35" s="14" t="inlineStr">
        <is>
          <t>TC-34</t>
        </is>
      </c>
      <c r="B35" s="14" t="inlineStr">
        <is>
          <t>Applications</t>
        </is>
      </c>
      <c r="C35" s="14" t="inlineStr">
        <is>
          <t>2</t>
        </is>
      </c>
      <c r="D35" s="14" t="inlineStr">
        <is>
          <t>Quiet applications are explained</t>
        </is>
      </c>
      <c r="E35" s="14" t="inlineStr">
        <is>
          <t>No update for 14 days, then the decision date passes</t>
        </is>
      </c>
      <c r="F35" s="14" t="inlineStr">
        <is>
          <t>Student sees the 14-day note, then 'No decision by the promised date'</t>
        </is>
      </c>
      <c r="G35" s="14" t="inlineStr">
        <is>
          <t>Automated</t>
        </is>
      </c>
      <c r="H35" s="14" t="inlineStr">
        <is>
          <t>pytest 21 Oct (137 passed): test_applications.py::test_quiet_applications_get_the_14_day_note_then_no_decision_at_the_date</t>
        </is>
      </c>
      <c r="I35" s="14" t="inlineStr">
        <is>
          <t>As expected</t>
        </is>
      </c>
      <c r="J35" s="14" t="inlineStr">
        <is>
          <t>Pass</t>
        </is>
      </c>
      <c r="K35" s="14" t="inlineStr">
        <is>
          <t>21 Oct 2026</t>
        </is>
      </c>
      <c r="L35" s="14" t="n"/>
    </row>
    <row r="36" ht="34.5" customHeight="1" s="12">
      <c r="A36" s="14" t="inlineStr">
        <is>
          <t>TC-35</t>
        </is>
      </c>
      <c r="B36" s="14" t="inlineStr">
        <is>
          <t>Employer</t>
        </is>
      </c>
      <c r="C36" s="14" t="inlineStr">
        <is>
          <t>-</t>
        </is>
      </c>
      <c r="D36" s="14" t="inlineStr">
        <is>
          <t>Only approved employers can post</t>
        </is>
      </c>
      <c r="E36" s="14" t="inlineStr">
        <is>
          <t>Waiting or rejected employer opens employer pages</t>
        </is>
      </c>
      <c r="F36" s="14" t="inlineStr">
        <is>
          <t>Refused until approved</t>
        </is>
      </c>
      <c r="G36" s="14" t="inlineStr">
        <is>
          <t>Automated</t>
        </is>
      </c>
      <c r="H36" s="14" t="inlineStr">
        <is>
          <t>pytest 21 Oct (137 passed): test_auth.py::test_employer_waiting_or_rejected_cannot_use_employer_pages</t>
        </is>
      </c>
      <c r="I36" s="14" t="inlineStr">
        <is>
          <t>As expected</t>
        </is>
      </c>
      <c r="J36" s="14" t="inlineStr">
        <is>
          <t>Pass</t>
        </is>
      </c>
      <c r="K36" s="14" t="inlineStr">
        <is>
          <t>21 Oct 2026</t>
        </is>
      </c>
      <c r="L36" s="14" t="n"/>
    </row>
    <row r="37" ht="34.5" customHeight="1" s="12">
      <c r="A37" s="14" t="inlineStr">
        <is>
          <t>TC-36</t>
        </is>
      </c>
      <c r="B37" s="14" t="inlineStr">
        <is>
          <t>Employer</t>
        </is>
      </c>
      <c r="C37" s="14" t="inlineStr">
        <is>
          <t>-</t>
        </is>
      </c>
      <c r="D37" s="14" t="inlineStr">
        <is>
          <t>Post a job: skills read, checked, published</t>
        </is>
      </c>
      <c r="E37" s="14" t="inlineStr">
        <is>
          <t>Employer writes an ad, checks the skills, publishes</t>
        </is>
      </c>
      <c r="F37" s="14" t="inlineStr">
        <is>
          <t>Skills saved; what the employer changed is recorded</t>
        </is>
      </c>
      <c r="G37" s="14" t="inlineStr">
        <is>
          <t>Automated</t>
        </is>
      </c>
      <c r="H37" s="14" t="inlineStr">
        <is>
          <t>pytest 21 Oct (137 passed): test_extraction_records.py::test_employer_read_then_publish_records_their_changes</t>
        </is>
      </c>
      <c r="I37" s="14" t="inlineStr">
        <is>
          <t>As expected</t>
        </is>
      </c>
      <c r="J37" s="14" t="inlineStr">
        <is>
          <t>Pass</t>
        </is>
      </c>
      <c r="K37" s="14" t="inlineStr">
        <is>
          <t>21 Oct 2026</t>
        </is>
      </c>
      <c r="L37" s="14" t="n"/>
    </row>
    <row r="38" ht="34.5" customHeight="1" s="12">
      <c r="A38" s="14" t="inlineStr">
        <is>
          <t>TC-37</t>
        </is>
      </c>
      <c r="B38" s="14" t="inlineStr">
        <is>
          <t>Employer</t>
        </is>
      </c>
      <c r="C38" s="14" t="inlineStr">
        <is>
          <t>-</t>
        </is>
      </c>
      <c r="D38" s="14" t="inlineStr">
        <is>
          <t>Decision date set and moved once</t>
        </is>
      </c>
      <c r="E38" s="14" t="inlineStr">
        <is>
          <t>Post with 'Decide by'; move it twice</t>
        </is>
      </c>
      <c r="F38" s="14" t="inlineStr">
        <is>
          <t>Set; moved once with a reason; second move refused</t>
        </is>
      </c>
      <c r="G38" s="14" t="inlineStr">
        <is>
          <t>Automated</t>
        </is>
      </c>
      <c r="H38" s="14" t="inlineStr">
        <is>
          <t>pytest 21 Oct (137 passed): test_transparency.py::test_decision_date_is_set_when_posting_and_moved_once</t>
        </is>
      </c>
      <c r="I38" s="14" t="inlineStr">
        <is>
          <t>As expected</t>
        </is>
      </c>
      <c r="J38" s="14" t="inlineStr">
        <is>
          <t>Pass</t>
        </is>
      </c>
      <c r="K38" s="14" t="inlineStr">
        <is>
          <t>21 Oct 2026</t>
        </is>
      </c>
      <c r="L38" s="14" t="n"/>
    </row>
    <row r="39" ht="45.75" customHeight="1" s="12">
      <c r="A39" s="14" t="inlineStr">
        <is>
          <t>TC-38</t>
        </is>
      </c>
      <c r="B39" s="14" t="inlineStr">
        <is>
          <t>Employer</t>
        </is>
      </c>
      <c r="C39" s="14" t="inlineStr">
        <is>
          <t>-</t>
        </is>
      </c>
      <c r="D39" s="14" t="inlineStr">
        <is>
          <t>Shortlist, undo, reject, correct</t>
        </is>
      </c>
      <c r="E39" s="14" t="inlineStr">
        <is>
          <t>Change an applicant's status several times</t>
        </is>
      </c>
      <c r="F39" s="14" t="inlineStr">
        <is>
          <t>Each change recorded; Undo restores the previous status</t>
        </is>
      </c>
      <c r="G39" s="14" t="inlineStr">
        <is>
          <t>Automated + Playwright E2E</t>
        </is>
      </c>
      <c r="H39" s="14" t="inlineStr">
        <is>
          <t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      </is>
      </c>
      <c r="I39" s="14" t="inlineStr">
        <is>
          <t>As expected</t>
        </is>
      </c>
      <c r="J39" s="14" t="inlineStr">
        <is>
          <t>Pass</t>
        </is>
      </c>
      <c r="K39" s="14" t="inlineStr">
        <is>
          <t>22 Oct 2026</t>
        </is>
      </c>
      <c r="L39" s="14" t="n"/>
    </row>
    <row r="40" ht="34.5" customHeight="1" s="12">
      <c r="A40" s="14" t="inlineStr">
        <is>
          <t>TC-39</t>
        </is>
      </c>
      <c r="B40" s="14" t="inlineStr">
        <is>
          <t>Employer</t>
        </is>
      </c>
      <c r="C40" s="14" t="inlineStr">
        <is>
          <t>-</t>
        </is>
      </c>
      <c r="D40" s="14" t="inlineStr">
        <is>
          <t>Not selected with a reason</t>
        </is>
      </c>
      <c r="E40" s="14" t="inlineStr">
        <is>
          <t>Reject with 'missing skills'</t>
        </is>
      </c>
      <c r="F40" s="14" t="inlineStr">
        <is>
          <t>Student sees the reason and her own missing skills</t>
        </is>
      </c>
      <c r="G40" s="14" t="inlineStr">
        <is>
          <t>Automated</t>
        </is>
      </c>
      <c r="H40" s="14" t="inlineStr">
        <is>
          <t>pytest 21 Oct (137 passed): test_transparency.py::test_not_selected_with_a_reason_the_student_sees</t>
        </is>
      </c>
      <c r="I40" s="14" t="inlineStr">
        <is>
          <t>As expected</t>
        </is>
      </c>
      <c r="J40" s="14" t="inlineStr">
        <is>
          <t>Pass</t>
        </is>
      </c>
      <c r="K40" s="14" t="inlineStr">
        <is>
          <t>21 Oct 2026</t>
        </is>
      </c>
      <c r="L40" s="14" t="n"/>
    </row>
    <row r="41" ht="34.5" customHeight="1" s="12">
      <c r="A41" s="14" t="inlineStr">
        <is>
          <t>TC-40</t>
        </is>
      </c>
      <c r="B41" s="14" t="inlineStr">
        <is>
          <t>Employer</t>
        </is>
      </c>
      <c r="C41" s="14" t="inlineStr">
        <is>
          <t>-</t>
        </is>
      </c>
      <c r="D41" s="14" t="inlineStr">
        <is>
          <t>Several Not selected at once</t>
        </is>
      </c>
      <c r="E41" s="14" t="inlineStr">
        <is>
          <t>Tick several, one of them another employer's</t>
        </is>
      </c>
      <c r="F41" s="14" t="inlineStr">
        <is>
          <t>All or nothing: refused, nothing changed</t>
        </is>
      </c>
      <c r="G41" s="14" t="inlineStr">
        <is>
          <t>Automated</t>
        </is>
      </c>
      <c r="H41" s="14" t="inlineStr">
        <is>
          <t>pytest 21 Oct (137 passed): test_transparency.py::test_several_at_once_all_or_nothing</t>
        </is>
      </c>
      <c r="I41" s="14" t="inlineStr">
        <is>
          <t>As expected</t>
        </is>
      </c>
      <c r="J41" s="14" t="inlineStr">
        <is>
          <t>Pass</t>
        </is>
      </c>
      <c r="K41" s="14" t="inlineStr">
        <is>
          <t>21 Oct 2026</t>
        </is>
      </c>
      <c r="L41" s="14" t="n"/>
    </row>
    <row r="42" ht="34.5" customHeight="1" s="12">
      <c r="A42" s="14" t="inlineStr">
        <is>
          <t>TC-41</t>
        </is>
      </c>
      <c r="B42" s="14" t="inlineStr">
        <is>
          <t>Employer</t>
        </is>
      </c>
      <c r="C42" s="14" t="inlineStr">
        <is>
          <t>-</t>
        </is>
      </c>
      <c r="D42" s="14" t="inlineStr">
        <is>
          <t>Several Shortlisted at once</t>
        </is>
      </c>
      <c r="E42" s="14" t="inlineStr">
        <is>
          <t>Tick 3 (one already Accepted), Shortlist</t>
        </is>
      </c>
      <c r="F42" s="14" t="inlineStr">
        <is>
          <t>Only the 2 at Applied move; contact details then shown</t>
        </is>
      </c>
      <c r="G42" s="14" t="inlineStr">
        <is>
          <t>Automated</t>
        </is>
      </c>
      <c r="H42" s="14" t="inlineStr">
        <is>
          <t>pytest 21 Oct (137 passed): test_transparency.py::test_shortlist_several_only_moves_those_at_applied</t>
        </is>
      </c>
      <c r="I42" s="14" t="inlineStr">
        <is>
          <t>As expected</t>
        </is>
      </c>
      <c r="J42" s="14" t="inlineStr">
        <is>
          <t>Pass</t>
        </is>
      </c>
      <c r="K42" s="14" t="inlineStr">
        <is>
          <t>21 Oct 2026</t>
        </is>
      </c>
      <c r="L42" s="14" t="n"/>
    </row>
    <row r="43" ht="34.5" customHeight="1" s="12">
      <c r="A43" s="14" t="inlineStr">
        <is>
          <t>TC-42</t>
        </is>
      </c>
      <c r="B43" s="14" t="inlineStr">
        <is>
          <t>Employer</t>
        </is>
      </c>
      <c r="C43" s="14" t="inlineStr">
        <is>
          <t>-</t>
        </is>
      </c>
      <c r="D43" s="14" t="inlineStr">
        <is>
          <t>Contact details only after shortlisting</t>
        </is>
      </c>
      <c r="E43" s="14" t="inlineStr">
        <is>
          <t>Open an applicant before and after shortlisting</t>
        </is>
      </c>
      <c r="F43" s="14" t="inlineStr">
        <is>
          <t>Email and phone hidden, then shown</t>
        </is>
      </c>
      <c r="G43" s="14" t="inlineStr">
        <is>
          <t>Automated + Playwright E2E</t>
        </is>
      </c>
      <c r="H43" s="14" t="inlineStr">
        <is>
          <t>pytest 21 Oct (137 passed): test_invitations.py::test_contact_details_only_after_shortlisting; Playwright 22 Oct (13 passed, docs/evidence/e2e/run_2026-10-22.txt): 2-employer.spec.js; screenshot docs/evidence/e2e/TC-42_shortlisted_contact.png</t>
        </is>
      </c>
      <c r="I43" s="14" t="inlineStr">
        <is>
          <t>As expected</t>
        </is>
      </c>
      <c r="J43" s="14" t="inlineStr">
        <is>
          <t>Pass</t>
        </is>
      </c>
      <c r="K43" s="14" t="inlineStr">
        <is>
          <t>22 Oct 2026</t>
        </is>
      </c>
      <c r="L43" s="14" t="n"/>
    </row>
    <row r="44" ht="34.5" customHeight="1" s="12">
      <c r="A44" s="14" t="inlineStr">
        <is>
          <t>TC-43</t>
        </is>
      </c>
      <c r="B44" s="14" t="inlineStr">
        <is>
          <t>Employer</t>
        </is>
      </c>
      <c r="C44" s="14" t="inlineStr">
        <is>
          <t>-</t>
        </is>
      </c>
      <c r="D44" s="14" t="inlineStr">
        <is>
          <t>Invite graduates who fit</t>
        </is>
      </c>
      <c r="E44" s="14" t="inlineStr">
        <is>
          <t>Invite a visible graduate; invite again</t>
        </is>
      </c>
      <c r="F44" s="14" t="inlineStr">
        <is>
          <t>Student sees the invitation; only once</t>
        </is>
      </c>
      <c r="G44" s="14" t="inlineStr">
        <is>
          <t>Automated</t>
        </is>
      </c>
      <c r="H44" s="14" t="inlineStr">
        <is>
          <t>pytest 21 Oct (137 passed): test_invitations.py::test_invite_flow, test_invite_only_once_even_after_not_interested</t>
        </is>
      </c>
      <c r="I44" s="14" t="inlineStr">
        <is>
          <t>As expected</t>
        </is>
      </c>
      <c r="J44" s="14" t="inlineStr">
        <is>
          <t>Pass</t>
        </is>
      </c>
      <c r="K44" s="14" t="inlineStr">
        <is>
          <t>21 Oct 2026</t>
        </is>
      </c>
      <c r="L44" s="14" t="n"/>
    </row>
    <row r="45" ht="57" customHeight="1" s="12">
      <c r="A45" s="14" t="inlineStr">
        <is>
          <t>TC-44</t>
        </is>
      </c>
      <c r="B45" s="14" t="inlineStr">
        <is>
          <t>Employer</t>
        </is>
      </c>
      <c r="C45" s="14" t="inlineStr">
        <is>
          <t>-</t>
        </is>
      </c>
      <c r="D45" s="14" t="inlineStr">
        <is>
          <t>After applying, a job asks for less, not more</t>
        </is>
      </c>
      <c r="E45" s="14" t="inlineStr">
        <is>
          <t>Someone applied; employer adds a required skill, then removes one</t>
        </is>
      </c>
      <c r="F45" s="14" t="inlineStr">
        <is>
          <t>Adding refused with 'Post a new job'; removing allowed; student told what was dropped</t>
        </is>
      </c>
      <c r="G45" s="14" t="inlineStr">
        <is>
          <t>Automated</t>
        </is>
      </c>
      <c r="H45" s="14" t="inlineStr">
        <is>
          <t>pytest 21 Oct (137 passed): test_edit_job.py::test_edit_changes_skills_and_keeps_locked_fields, test_after_applying_the_job_cant_ask_for_more_qualification_or_languages</t>
        </is>
      </c>
      <c r="I45" s="14" t="inlineStr">
        <is>
          <t>As expected</t>
        </is>
      </c>
      <c r="J45" s="14" t="inlineStr">
        <is>
          <t>Pass</t>
        </is>
      </c>
      <c r="K45" s="14" t="inlineStr">
        <is>
          <t>21 Oct 2026</t>
        </is>
      </c>
      <c r="L45" s="14" t="n"/>
    </row>
    <row r="46" ht="57" customHeight="1" s="12">
      <c r="A46" s="14" t="inlineStr">
        <is>
          <t>TC-45</t>
        </is>
      </c>
      <c r="B46" s="14" t="inlineStr">
        <is>
          <t>Employer</t>
        </is>
      </c>
      <c r="C46" s="14" t="inlineStr">
        <is>
          <t>-</t>
        </is>
      </c>
      <c r="D46" s="14" t="inlineStr">
        <is>
          <t>Edit and application at the same moment</t>
        </is>
      </c>
      <c r="E46" s="14" t="inlineStr">
        <is>
          <t>Save a stricter edit while a student applies, in both orders</t>
        </is>
      </c>
      <c r="F46" s="14" t="inlineStr">
        <is>
          <t>Application first: edit refused. Edit first: application made under the new ad (row lock)</t>
        </is>
      </c>
      <c r="G46" s="14" t="inlineStr">
        <is>
          <t>Automated</t>
        </is>
      </c>
      <c r="H46" s="14" t="inlineStr">
        <is>
          <t>pytest 22 Oct (140 passed): test_edit_job.py::test_real_endpoints_application_first_then_a_stricter_edit_is_refused, test_real_endpoints_edit_first_then_the_application_is_made_under_the_new_ad (both fail without the lock)</t>
        </is>
      </c>
      <c r="I46" s="14" t="inlineStr">
        <is>
          <t>As expected</t>
        </is>
      </c>
      <c r="J46" s="14" t="inlineStr">
        <is>
          <t>Pass</t>
        </is>
      </c>
      <c r="K46" s="14" t="inlineStr">
        <is>
          <t>21 Oct 2026</t>
        </is>
      </c>
      <c r="L46" s="14" t="n"/>
    </row>
    <row r="47" ht="34.5" customHeight="1" s="12">
      <c r="A47" s="14" t="inlineStr">
        <is>
          <t>TC-46</t>
        </is>
      </c>
      <c r="B47" s="14" t="inlineStr">
        <is>
          <t>Employer</t>
        </is>
      </c>
      <c r="C47" s="14" t="inlineStr">
        <is>
          <t>-</t>
        </is>
      </c>
      <c r="D47" s="14" t="inlineStr">
        <is>
          <t>Closing a job needs a reason</t>
        </is>
      </c>
      <c r="E47" s="14" t="inlineStr">
        <is>
          <t>Close a job with applicants waiting</t>
        </is>
      </c>
      <c r="F47" s="14" t="inlineStr">
        <is>
          <t>Reason required; everyone waiting is told</t>
        </is>
      </c>
      <c r="G47" s="14" t="inlineStr">
        <is>
          <t>Automated</t>
        </is>
      </c>
      <c r="H47" s="14" t="inlineStr">
        <is>
          <t>pytest 21 Oct (137 passed): test_applications.py::test_closing_needs_a_reason_and_tells_everyone_waiting</t>
        </is>
      </c>
      <c r="I47" s="14" t="inlineStr">
        <is>
          <t>As expected</t>
        </is>
      </c>
      <c r="J47" s="14" t="inlineStr">
        <is>
          <t>Pass</t>
        </is>
      </c>
      <c r="K47" s="14" t="inlineStr">
        <is>
          <t>21 Oct 2026</t>
        </is>
      </c>
      <c r="L47" s="14" t="n"/>
    </row>
    <row r="48" ht="34.5" customHeight="1" s="12">
      <c r="A48" s="14" t="inlineStr">
        <is>
          <t>TC-47</t>
        </is>
      </c>
      <c r="B48" s="14" t="inlineStr">
        <is>
          <t>Employer</t>
        </is>
      </c>
      <c r="C48" s="14" t="inlineStr">
        <is>
          <t>-</t>
        </is>
      </c>
      <c r="D48" s="14" t="inlineStr">
        <is>
          <t>Reply record shown to students</t>
        </is>
      </c>
      <c r="E48" s="14" t="inlineStr">
        <is>
          <t>Employer decides on time on 3 jobs</t>
        </is>
      </c>
      <c r="F48" s="14" t="inlineStr">
        <is>
          <t>Students see 'replied on time N of M'</t>
        </is>
      </c>
      <c r="G48" s="14" t="inlineStr">
        <is>
          <t>Automated</t>
        </is>
      </c>
      <c r="H48" s="14" t="inlineStr">
        <is>
          <t>pytest 21 Oct (137 passed): test_transparency.py::test_employer_record_of_deciding_on_time</t>
        </is>
      </c>
      <c r="I48" s="14" t="inlineStr">
        <is>
          <t>As expected</t>
        </is>
      </c>
      <c r="J48" s="14" t="inlineStr">
        <is>
          <t>Pass</t>
        </is>
      </c>
      <c r="K48" s="14" t="inlineStr">
        <is>
          <t>21 Oct 2026</t>
        </is>
      </c>
      <c r="L48" s="14" t="n"/>
    </row>
    <row r="49" ht="34.5" customHeight="1" s="12">
      <c r="A49" s="14" t="inlineStr">
        <is>
          <t>TC-48</t>
        </is>
      </c>
      <c r="B49" s="14" t="inlineStr">
        <is>
          <t>Admin</t>
        </is>
      </c>
      <c r="C49" s="14" t="inlineStr">
        <is>
          <t>-</t>
        </is>
      </c>
      <c r="D49" s="14" t="inlineStr">
        <is>
          <t>Approve an employer</t>
        </is>
      </c>
      <c r="E49" s="14" t="inlineStr">
        <is>
          <t>Admin approves a waiting employer</t>
        </is>
      </c>
      <c r="F49" s="14" t="inlineStr">
        <is>
          <t>Employer leaves 'waiting' and can post</t>
        </is>
      </c>
      <c r="G49" s="14" t="inlineStr">
        <is>
          <t>Automated + Playwright E2E</t>
        </is>
      </c>
      <c r="H49" s="14" t="inlineStr">
        <is>
          <t>pytest 21 Oct (137 passed): test_admin.py::test_approve_moves_employer_out_of_waiting; Playwright 22 Oct (13 passed, docs/evidence/e2e/run_2026-10-22.txt): 3-admin.spec.js; screenshot docs/evidence/e2e/TC-48_employer_approved.png</t>
        </is>
      </c>
      <c r="I49" s="14" t="inlineStr">
        <is>
          <t>As expected</t>
        </is>
      </c>
      <c r="J49" s="14" t="inlineStr">
        <is>
          <t>Pass</t>
        </is>
      </c>
      <c r="K49" s="14" t="inlineStr">
        <is>
          <t>22 Oct 2026</t>
        </is>
      </c>
      <c r="L49" s="14" t="n"/>
    </row>
    <row r="50" ht="34.5" customHeight="1" s="12">
      <c r="A50" s="14" t="inlineStr">
        <is>
          <t>TC-49</t>
        </is>
      </c>
      <c r="B50" s="14" t="inlineStr">
        <is>
          <t>Admin</t>
        </is>
      </c>
      <c r="C50" s="14" t="inlineStr">
        <is>
          <t>-</t>
        </is>
      </c>
      <c r="D50" s="14" t="inlineStr">
        <is>
          <t>Deactivate an account</t>
        </is>
      </c>
      <c r="E50" s="14" t="inlineStr">
        <is>
          <t>Deactivate with and without a reason; deactivate yourself</t>
        </is>
      </c>
      <c r="F50" s="14" t="inlineStr">
        <is>
          <t>Reason required; can't deactivate yourself; old login stops working</t>
        </is>
      </c>
      <c r="G50" s="14" t="inlineStr">
        <is>
          <t>Automated</t>
        </is>
      </c>
      <c r="H50" s="14" t="inlineStr">
        <is>
          <t>pytest 21 Oct (137 passed): test_admin.py (2 tests), test_auth.py::test_deactivated_account_old_token_stops_working</t>
        </is>
      </c>
      <c r="I50" s="14" t="inlineStr">
        <is>
          <t>As expected</t>
        </is>
      </c>
      <c r="J50" s="14" t="inlineStr">
        <is>
          <t>Pass</t>
        </is>
      </c>
      <c r="K50" s="14" t="inlineStr">
        <is>
          <t>21 Oct 2026</t>
        </is>
      </c>
      <c r="L50" s="14" t="n"/>
    </row>
    <row r="51" ht="23.25" customHeight="1" s="12">
      <c r="A51" s="14" t="inlineStr">
        <is>
          <t>TC-50</t>
        </is>
      </c>
      <c r="B51" s="14" t="inlineStr">
        <is>
          <t>Admin</t>
        </is>
      </c>
      <c r="C51" s="14" t="inlineStr">
        <is>
          <t>-</t>
        </is>
      </c>
      <c r="D51" s="14" t="inlineStr">
        <is>
          <t>Add an intake and edit its module list</t>
        </is>
      </c>
      <c r="E51" s="14" t="inlineStr">
        <is>
          <t>Admin adds an intake copied from the latest, edits the list</t>
        </is>
      </c>
      <c r="F51" s="14" t="inlineStr">
        <is>
          <t>Intake listed with its modules; other intakes unchanged</t>
        </is>
      </c>
      <c r="G51" s="14" t="inlineStr">
        <is>
          <t>Playwright E2E</t>
        </is>
      </c>
      <c r="H51" s="14" t="inlineStr">
        <is>
          <t>Playwright 22 Oct (13 passed, docs/evidence/e2e/run_2026-10-22.txt): 3-admin.spec.js; screenshot docs/evidence/e2e/TC-50_intake_added.png</t>
        </is>
      </c>
      <c r="I51" s="14" t="inlineStr">
        <is>
          <t>APU1F2701SE added, starts 4 Jan 2027, 40 modules copied from the latest intake, marked Latest</t>
        </is>
      </c>
      <c r="J51" s="14" t="inlineStr">
        <is>
          <t>Pass</t>
        </is>
      </c>
      <c r="K51" s="14" t="inlineStr">
        <is>
          <t>22 Oct 2026</t>
        </is>
      </c>
      <c r="L51" s="14" t="n"/>
    </row>
    <row r="52" ht="23.25" customHeight="1" s="12">
      <c r="A52" s="14" t="inlineStr">
        <is>
          <t>TC-51</t>
        </is>
      </c>
      <c r="B52" s="14" t="inlineStr">
        <is>
          <t>Accounts</t>
        </is>
      </c>
      <c r="C52" s="14" t="inlineStr">
        <is>
          <t>-</t>
        </is>
      </c>
      <c r="D52" s="14" t="inlineStr">
        <is>
          <t>Sign-up rules</t>
        </is>
      </c>
      <c r="E52" s="14" t="inlineStr">
        <is>
          <t>Sign up without the privacy tick; as admin; same email twice; employer without company</t>
        </is>
      </c>
      <c r="F52" s="14" t="inlineStr">
        <is>
          <t>Each refused with a clear message</t>
        </is>
      </c>
      <c r="G52" s="14" t="inlineStr">
        <is>
          <t>Automated + Playwright E2E</t>
        </is>
      </c>
      <c r="H52" s="14" t="inlineStr">
        <is>
          <t>pytest 21 Oct (137 passed): test_auth.py (4 tests); Playwright 22 Oct (13 passed, docs/evidence/e2e/run_2026-10-22.txt): 3-admin.spec.js; screenshot docs/evidence/e2e/TC-51_employer_waiting.png</t>
        </is>
      </c>
      <c r="I52" s="14" t="inlineStr">
        <is>
          <t>As expected</t>
        </is>
      </c>
      <c r="J52" s="14" t="inlineStr">
        <is>
          <t>Pass</t>
        </is>
      </c>
      <c r="K52" s="14" t="inlineStr">
        <is>
          <t>22 Oct 2026</t>
        </is>
      </c>
      <c r="L52" s="14" t="n"/>
    </row>
    <row r="53" ht="23.25" customHeight="1" s="12">
      <c r="A53" s="14" t="inlineStr">
        <is>
          <t>TC-52</t>
        </is>
      </c>
      <c r="B53" s="14" t="inlineStr">
        <is>
          <t>Accounts</t>
        </is>
      </c>
      <c r="C53" s="14" t="inlineStr">
        <is>
          <t>-</t>
        </is>
      </c>
      <c r="D53" s="14" t="inlineStr">
        <is>
          <t>Wrong password refused</t>
        </is>
      </c>
      <c r="E53" s="14" t="inlineStr">
        <is>
          <t>Sign in with a wrong password</t>
        </is>
      </c>
      <c r="F53" s="14" t="inlineStr">
        <is>
          <t>Refused</t>
        </is>
      </c>
      <c r="G53" s="14" t="inlineStr">
        <is>
          <t>Automated</t>
        </is>
      </c>
      <c r="H53" s="14" t="inlineStr">
        <is>
          <t>pytest 21 Oct (137 passed): test_auth.py::test_wrong_password_is_refused</t>
        </is>
      </c>
      <c r="I53" s="14" t="inlineStr">
        <is>
          <t>As expected</t>
        </is>
      </c>
      <c r="J53" s="14" t="inlineStr">
        <is>
          <t>Pass</t>
        </is>
      </c>
      <c r="K53" s="14" t="inlineStr">
        <is>
          <t>21 Oct 2026</t>
        </is>
      </c>
      <c r="L53" s="14" t="n"/>
    </row>
    <row r="54" ht="23.25" customHeight="1" s="12">
      <c r="A54" s="14" t="inlineStr">
        <is>
          <t>TC-53</t>
        </is>
      </c>
      <c r="B54" s="14" t="inlineStr">
        <is>
          <t>Accounts</t>
        </is>
      </c>
      <c r="C54" s="14" t="inlineStr">
        <is>
          <t>-</t>
        </is>
      </c>
      <c r="D54" s="14" t="inlineStr">
        <is>
          <t>Forgot password</t>
        </is>
      </c>
      <c r="E54" s="14" t="inlineStr">
        <is>
          <t>Request a code, enter it, set a new password</t>
        </is>
      </c>
      <c r="F54" s="14" t="inlineStr">
        <is>
          <t>Code emailed; new password works; old one doesn't</t>
        </is>
      </c>
      <c r="G54" s="14" t="inlineStr">
        <is>
          <t>Manual</t>
        </is>
      </c>
      <c r="H54" s="14" t="inlineStr">
        <is>
          <t>docs/evidence/manual/TC-53_1 to TC-53_7 (reset page, code email, code verified, password changed, old password refused, new password signs in)</t>
        </is>
      </c>
      <c r="I54" s="14" t="inlineStr">
        <is>
          <t>Code arrived in Gmail within a minute, naming the account (tc53test), 15 minutes, single use. Code verified, new password set, "Password changed" message. Old password refused ("Invalid credentials", account not revealed); new password signs in. Real Gmail delivery (SMTP), test account weilinglow0926+tc53@gmail.com.</t>
        </is>
      </c>
      <c r="J54" s="14" t="inlineStr">
        <is>
          <t>Pass</t>
        </is>
      </c>
      <c r="K54" s="14" t="inlineStr">
        <is>
          <t>24 Oct 2026</t>
        </is>
      </c>
      <c r="L54" s="14" t="n"/>
    </row>
    <row r="55" ht="23.25" customHeight="1" s="12">
      <c r="A55" s="14" t="inlineStr">
        <is>
          <t>TC-54</t>
        </is>
      </c>
      <c r="B55" s="14" t="inlineStr">
        <is>
          <t>Privacy</t>
        </is>
      </c>
      <c r="C55" s="14" t="inlineStr">
        <is>
          <t>-</t>
        </is>
      </c>
      <c r="D55" s="14" t="inlineStr">
        <is>
          <t>Each role reaches only its own pages</t>
        </is>
      </c>
      <c r="E55" s="14" t="inlineStr">
        <is>
          <t>Student, employer and admin call each other's pages</t>
        </is>
      </c>
      <c r="F55" s="14" t="inlineStr">
        <is>
          <t>Refused (403)</t>
        </is>
      </c>
      <c r="G55" s="14" t="inlineStr">
        <is>
          <t>Automated + Playwright E2E</t>
        </is>
      </c>
      <c r="H55" s="14" t="inlineStr">
        <is>
          <t>pytest 21 Oct (137 passed): test_auth.py::test_role_checks; Playwright 22 Oct (13 passed, docs/evidence/e2e/run_2026-10-22.txt): 4-access.spec.js; screenshot docs/evidence/e2e/TC-54_student_sent_to_dashboard.png</t>
        </is>
      </c>
      <c r="I55" s="14" t="inlineStr">
        <is>
          <t>As expected</t>
        </is>
      </c>
      <c r="J55" s="14" t="inlineStr">
        <is>
          <t>Pass</t>
        </is>
      </c>
      <c r="K55" s="14" t="inlineStr">
        <is>
          <t>22 Oct 2026</t>
        </is>
      </c>
      <c r="L55" s="14" t="inlineStr">
        <is>
          <t>In the browser, a student sent to her Dashboard is told "That page is for employers / the career office" (added 22 Oct).</t>
        </is>
      </c>
    </row>
    <row r="56" ht="23.25" customHeight="1" s="12">
      <c r="A56" s="14" t="inlineStr">
        <is>
          <t>TC-55</t>
        </is>
      </c>
      <c r="B56" s="14" t="inlineStr">
        <is>
          <t>Privacy</t>
        </is>
      </c>
      <c r="C56" s="14" t="inlineStr">
        <is>
          <t>-</t>
        </is>
      </c>
      <c r="D56" s="14" t="inlineStr">
        <is>
          <t>No one reaches another person's records</t>
        </is>
      </c>
      <c r="E56" s="14" t="inlineStr">
        <is>
          <t>Another employer opens my jobs or applicants; a student opens another's applications</t>
        </is>
      </c>
      <c r="F56" s="14" t="inlineStr">
        <is>
          <t>Refused (404)</t>
        </is>
      </c>
      <c r="G56" s="14" t="inlineStr">
        <is>
          <t>Automated</t>
        </is>
      </c>
      <c r="H56" s="14" t="inlineStr">
        <is>
          <t>pytest 21 Oct (137 passed): test_permissions.py (2 tests)</t>
        </is>
      </c>
      <c r="I56" s="14" t="inlineStr">
        <is>
          <t>As expected</t>
        </is>
      </c>
      <c r="J56" s="14" t="inlineStr">
        <is>
          <t>Pass</t>
        </is>
      </c>
      <c r="K56" s="14" t="inlineStr">
        <is>
          <t>21 Oct 2026</t>
        </is>
      </c>
      <c r="L56" s="14" t="n"/>
    </row>
    <row r="57" ht="57" customHeight="1" s="12">
      <c r="A57" s="14" t="inlineStr">
        <is>
          <t>TC-56</t>
        </is>
      </c>
      <c r="B57" s="14" t="inlineStr">
        <is>
          <t>Privacy</t>
        </is>
      </c>
      <c r="C57" s="14" t="inlineStr">
        <is>
          <t>-</t>
        </is>
      </c>
      <c r="D57" s="14" t="inlineStr">
        <is>
          <t>Grades, languages and CGPA only when she allows</t>
        </is>
      </c>
      <c r="E57" s="14" t="inlineStr">
        <is>
          <t>Switch each off and on; view as employer</t>
        </is>
      </c>
      <c r="F57" s="14" t="inlineStr">
        <is>
          <t>Shown only when switched on</t>
        </is>
      </c>
      <c r="G57" s="14" t="inlineStr">
        <is>
          <t>Automated</t>
        </is>
      </c>
      <c r="H57" s="14" t="inlineStr">
        <is>
          <t>pytest 21 Oct (137 passed): test_permissions.py::test_grades_follow_the_students_switch, test_more_evidence.py::test_languages_and_cgpa_only_when_she_allows</t>
        </is>
      </c>
      <c r="I57" s="14" t="inlineStr">
        <is>
          <t>As expected</t>
        </is>
      </c>
      <c r="J57" s="14" t="inlineStr">
        <is>
          <t>Pass</t>
        </is>
      </c>
      <c r="K57" s="14" t="inlineStr">
        <is>
          <t>21 Oct 2026</t>
        </is>
      </c>
      <c r="L57" s="14" t="n"/>
    </row>
    <row r="58" ht="34.5" customHeight="1" s="12">
      <c r="A58" s="14" t="inlineStr">
        <is>
          <t>TC-57</t>
        </is>
      </c>
      <c r="B58" s="14" t="inlineStr">
        <is>
          <t>Privacy</t>
        </is>
      </c>
      <c r="C58" s="14" t="inlineStr">
        <is>
          <t>-</t>
        </is>
      </c>
      <c r="D58" s="14" t="inlineStr">
        <is>
          <t>Download my data</t>
        </is>
      </c>
      <c r="E58" s="14" t="inlineStr">
        <is>
          <t>Student downloads her data</t>
        </is>
      </c>
      <c r="F58" s="14" t="inlineStr">
        <is>
          <t>Every field of her rows included</t>
        </is>
      </c>
      <c r="G58" s="14" t="inlineStr">
        <is>
          <t>Automated</t>
        </is>
      </c>
      <c r="H58" s="14" t="inlineStr">
        <is>
          <t>pytest 21 Oct (137 passed): test_personal_data.py::test_download_has_every_field_of_my_rows</t>
        </is>
      </c>
      <c r="I58" s="14" t="inlineStr">
        <is>
          <t>As expected</t>
        </is>
      </c>
      <c r="J58" s="14" t="inlineStr">
        <is>
          <t>Pass</t>
        </is>
      </c>
      <c r="K58" s="14" t="inlineStr">
        <is>
          <t>21 Oct 2026</t>
        </is>
      </c>
      <c r="L58" s="14" t="n"/>
    </row>
    <row r="59" ht="45.75" customHeight="1" s="12">
      <c r="A59" s="14" t="inlineStr">
        <is>
          <t>TC-58</t>
        </is>
      </c>
      <c r="B59" s="14" t="inlineStr">
        <is>
          <t>Privacy</t>
        </is>
      </c>
      <c r="C59" s="14" t="inlineStr">
        <is>
          <t>-</t>
        </is>
      </c>
      <c r="D59" s="14" t="inlineStr">
        <is>
          <t>Delete my account</t>
        </is>
      </c>
      <c r="E59" s="14" t="inlineStr">
        <is>
          <t>Student deletes her account (and retry after a failure)</t>
        </is>
      </c>
      <c r="F59" s="14" t="inlineStr">
        <is>
          <t>All her data removed; nothing deleted if chat history can't be reached</t>
        </is>
      </c>
      <c r="G59" s="14" t="inlineStr">
        <is>
          <t>Automated</t>
        </is>
      </c>
      <c r="H59" s="14" t="inlineStr">
        <is>
          <t>pytest 21 Oct (137 passed): test_delete_account.py (3 tests), test_audit_fixes.py::test_delete_can_be_retried_after_postgres_fails</t>
        </is>
      </c>
      <c r="I59" s="14" t="inlineStr">
        <is>
          <t>As expected</t>
        </is>
      </c>
      <c r="J59" s="14" t="inlineStr">
        <is>
          <t>Pass</t>
        </is>
      </c>
      <c r="K59" s="14" t="inlineStr">
        <is>
          <t>21 Oct 2026</t>
        </is>
      </c>
      <c r="L59" s="14" t="n"/>
    </row>
    <row r="60" ht="34.5" customHeight="1" s="12">
      <c r="A60" s="14" t="inlineStr">
        <is>
          <t>TC-59</t>
        </is>
      </c>
      <c r="B60" s="14" t="inlineStr">
        <is>
          <t>Privacy</t>
        </is>
      </c>
      <c r="C60" s="14" t="inlineStr">
        <is>
          <t>-</t>
        </is>
      </c>
      <c r="D60" s="14" t="inlineStr">
        <is>
          <t>Updated privacy notice</t>
        </is>
      </c>
      <c r="E60" s="14" t="inlineStr">
        <is>
          <t>Student on the 14 Oct notice signs in</t>
        </is>
      </c>
      <c r="F60" s="14" t="inlineStr">
        <is>
          <t>Pop-up says what changed; agreeing records the 21 Oct version</t>
        </is>
      </c>
      <c r="G60" s="14" t="inlineStr">
        <is>
          <t>Automated</t>
        </is>
      </c>
      <c r="H60" s="14" t="inlineStr">
        <is>
          <t>pytest 21 Oct (137 passed): test_more_evidence.py::test_someone_on_the_old_notice_can_agree_to_the_new_one</t>
        </is>
      </c>
      <c r="I60" s="14" t="inlineStr">
        <is>
          <t>As expected</t>
        </is>
      </c>
      <c r="J60" s="14" t="inlineStr">
        <is>
          <t>Pass</t>
        </is>
      </c>
      <c r="K60" s="14" t="inlineStr">
        <is>
          <t>21 Oct 2026</t>
        </is>
      </c>
      <c r="L60" s="14" t="n"/>
    </row>
    <row r="61" ht="23.25" customHeight="1" s="12">
      <c r="A61" s="14" t="inlineStr">
        <is>
          <t>TC-60</t>
        </is>
      </c>
      <c r="B61" s="14" t="inlineStr">
        <is>
          <t>Install and reliability</t>
        </is>
      </c>
      <c r="C61" s="14" t="inlineStr">
        <is>
          <t>-</t>
        </is>
      </c>
      <c r="D61" s="14" t="inlineStr">
        <is>
          <t>Fresh install</t>
        </is>
      </c>
      <c r="E61" s="14" t="inlineStr">
        <is>
          <t>Start the API on an empty database, run the data migrations</t>
        </is>
      </c>
      <c r="F61" s="14" t="inlineStr">
        <is>
          <t>Starts; programmes, modules and intakes present</t>
        </is>
      </c>
      <c r="G61" s="14" t="inlineStr">
        <is>
          <t>Automated</t>
        </is>
      </c>
      <c r="H61" s="14" t="inlineStr">
        <is>
          <t>pytest 21 Oct (137 passed): test_install.py (3 tests)</t>
        </is>
      </c>
      <c r="I61" s="14" t="inlineStr">
        <is>
          <t>As expected</t>
        </is>
      </c>
      <c r="J61" s="14" t="inlineStr">
        <is>
          <t>Pass</t>
        </is>
      </c>
      <c r="K61" s="14" t="inlineStr">
        <is>
          <t>21 Oct 2026</t>
        </is>
      </c>
      <c r="L61" s="14" t="n"/>
    </row>
    <row r="62" ht="57" customHeight="1" s="12">
      <c r="A62" s="14" t="inlineStr">
        <is>
          <t>TC-61</t>
        </is>
      </c>
      <c r="B62" s="14" t="inlineStr">
        <is>
          <t>Install and reliability</t>
        </is>
      </c>
      <c r="C62" s="14" t="inlineStr">
        <is>
          <t>-</t>
        </is>
      </c>
      <c r="D62" s="14" t="inlineStr">
        <is>
          <t>Migrations safe to repeat; outdated database named</t>
        </is>
      </c>
      <c r="E62" s="14" t="inlineStr">
        <is>
          <t>Run every migration twice; start with one migration missing</t>
        </is>
      </c>
      <c r="F62" s="14" t="inlineStr">
        <is>
          <t>No errors; start-up names the missing migration</t>
        </is>
      </c>
      <c r="G62" s="14" t="inlineStr">
        <is>
          <t>Automated</t>
        </is>
      </c>
      <c r="H62" s="14" t="inlineStr">
        <is>
          <t>pytest 21 Oct (137 passed): test_install.py::test_every_migration_is_safe_to_run_again, test_audit_fixes.py::test_a_database_one_migration_behind_is_named_then_upgraded</t>
        </is>
      </c>
      <c r="I62" s="14" t="inlineStr">
        <is>
          <t>As expected</t>
        </is>
      </c>
      <c r="J62" s="14" t="inlineStr">
        <is>
          <t>Pass</t>
        </is>
      </c>
      <c r="K62" s="14" t="inlineStr">
        <is>
          <t>21 Oct 2026</t>
        </is>
      </c>
      <c r="L62" s="14" t="n"/>
    </row>
    <row r="63" ht="34.5" customHeight="1" s="12">
      <c r="A63" s="14" t="inlineStr">
        <is>
          <t>TC-62</t>
        </is>
      </c>
      <c r="B63" s="14" t="inlineStr">
        <is>
          <t>Install and reliability</t>
        </is>
      </c>
      <c r="C63" s="14" t="inlineStr">
        <is>
          <t>-</t>
        </is>
      </c>
      <c r="D63" s="14" t="inlineStr">
        <is>
          <t>MongoDB down</t>
        </is>
      </c>
      <c r="E63" s="14" t="inlineStr">
        <is>
          <t>Stop MongoDB, use the app</t>
        </is>
      </c>
      <c r="F63" s="14" t="inlineStr">
        <is>
          <t>Everything works; records reported 'not saved'</t>
        </is>
      </c>
      <c r="G63" s="14" t="inlineStr">
        <is>
          <t>Automated</t>
        </is>
      </c>
      <c r="H63" s="14" t="inlineStr">
        <is>
          <t>pytest 21 Oct (137 passed): test_extraction_records.py::test_mongodb_down_never_blocks_and_pauses_retries</t>
        </is>
      </c>
      <c r="I63" s="14" t="inlineStr">
        <is>
          <t>As expected</t>
        </is>
      </c>
      <c r="J63" s="14" t="inlineStr">
        <is>
          <t>Pass</t>
        </is>
      </c>
      <c r="K63" s="14" t="inlineStr">
        <is>
          <t>21 Oct 2026</t>
        </is>
      </c>
      <c r="L63" s="14" t="n"/>
    </row>
    <row r="64" ht="34.5" customHeight="1" s="12">
      <c r="A64" s="14" t="inlineStr">
        <is>
          <t>TC-63</t>
        </is>
      </c>
      <c r="B64" s="14" t="inlineStr">
        <is>
          <t>Install and reliability</t>
        </is>
      </c>
      <c r="C64" s="14" t="inlineStr">
        <is>
          <t>-</t>
        </is>
      </c>
      <c r="D64" s="14" t="inlineStr">
        <is>
          <t>GitHub down</t>
        </is>
      </c>
      <c r="E64" s="14" t="inlineStr">
        <is>
          <t>GitHub unreachable while linking a project</t>
        </is>
      </c>
      <c r="F64" s="14" t="inlineStr">
        <is>
          <t>No stale badge shown</t>
        </is>
      </c>
      <c r="G64" s="14" t="inlineStr">
        <is>
          <t>Automated</t>
        </is>
      </c>
      <c r="H64" s="14" t="inlineStr">
        <is>
          <t>pytest 21 Oct (137 passed): test_github_connect.py::test_github_down_never_shows_an_old_badge_on_a_new_link</t>
        </is>
      </c>
      <c r="I64" s="14" t="inlineStr">
        <is>
          <t>As expected</t>
        </is>
      </c>
      <c r="J64" s="14" t="inlineStr">
        <is>
          <t>Pass</t>
        </is>
      </c>
      <c r="K64" s="14" t="inlineStr">
        <is>
          <t>21 Oct 2026</t>
        </is>
      </c>
      <c r="L64" s="14" t="n"/>
    </row>
    <row r="65" ht="23.25" customHeight="1" s="12">
      <c r="A65" s="14" t="inlineStr">
        <is>
          <t>TC-64</t>
        </is>
      </c>
      <c r="B65" s="14" t="inlineStr">
        <is>
          <t>Install and reliability</t>
        </is>
      </c>
      <c r="C65" s="14" t="inlineStr">
        <is>
          <t>-</t>
        </is>
      </c>
      <c r="D65" s="14" t="inlineStr">
        <is>
          <t>Skill reader down while posting</t>
        </is>
      </c>
      <c r="E65" s="14" t="inlineStr">
        <is>
          <t>AI unavailable when reading an ad</t>
        </is>
      </c>
      <c r="F65" s="14" t="inlineStr">
        <is>
          <t>Clear message; employer can add skills by hand</t>
        </is>
      </c>
      <c r="G65" s="14" t="inlineStr">
        <is>
          <t>Manual</t>
        </is>
      </c>
      <c r="H65" s="14" t="inlineStr">
        <is>
          <t>Stop the Groq key / network, then post</t>
        </is>
      </c>
      <c r="I65" s="14" t="n"/>
      <c r="J65" s="14" t="inlineStr">
        <is>
          <t>Not run</t>
        </is>
      </c>
      <c r="K65" s="14" t="n"/>
      <c r="L65" s="14" t="n"/>
    </row>
    <row r="66" ht="23.25" customHeight="1" s="12">
      <c r="A66" s="14" t="inlineStr">
        <is>
          <t>TC-65</t>
        </is>
      </c>
      <c r="B66" s="14" t="inlineStr">
        <is>
          <t>Non-functional</t>
        </is>
      </c>
      <c r="C66" s="14" t="inlineStr">
        <is>
          <t>-</t>
        </is>
      </c>
      <c r="D66" s="14" t="inlineStr">
        <is>
          <t>Security: known library holes</t>
        </is>
      </c>
      <c r="E66" s="14" t="inlineStr">
        <is>
          <t>Run pip-audit (backend) and npm audit (frontend)</t>
        </is>
      </c>
      <c r="F66" s="14" t="inlineStr">
        <is>
          <t>No high or critical issues left unexplained</t>
        </is>
      </c>
      <c r="G66" s="14" t="inlineStr">
        <is>
          <t>Tool: npm audit + pip-audit</t>
        </is>
      </c>
      <c r="H66" s="14" t="inlineStr">
        <is>
          <t>docs/evidence/security/: npm_audit_2026-10-22_before/after.txt, pip_audit_2026-10-22_before/after.txt</t>
        </is>
      </c>
      <c r="I66" s="14" t="inlineStr">
        <is>
          <t>Before: frontend 3 high, backend 58 advisories in 6 packages. After: 0 and 0 (upgrades; python-jose replaced by PyJWT). 140 pytest + 13 browser tests pass after the changes</t>
        </is>
      </c>
      <c r="J66" s="14" t="inlineStr">
        <is>
          <t>Pass</t>
        </is>
      </c>
      <c r="K66" s="14" t="inlineStr">
        <is>
          <t>22 Oct 2026</t>
        </is>
      </c>
      <c r="L66" s="14" t="n"/>
    </row>
    <row r="67" ht="23.25" customHeight="1" s="12">
      <c r="A67" s="14" t="inlineStr">
        <is>
          <t>TC-66</t>
        </is>
      </c>
      <c r="B67" s="14" t="inlineStr">
        <is>
          <t>Non-functional</t>
        </is>
      </c>
      <c r="C67" s="14" t="inlineStr">
        <is>
          <t>-</t>
        </is>
      </c>
      <c r="D67" s="14" t="inlineStr">
        <is>
          <t>Accessibility</t>
        </is>
      </c>
      <c r="E67" s="14" t="inlineStr">
        <is>
          <t>Lighthouse (desktop, Accessibility) on every page of every role: 4 by hand in Chrome DevTools, all 33 by frontend/scripts/lighthouse_all.mjs; axe-core scan of 33 pages, pop-ups and forms (5-accessibility.spec.js); Job Matches and View applicants with the keyboard only</t>
        </is>
      </c>
      <c r="F67" s="14" t="inlineStr">
        <is>
          <t>No serious accessibility problems left; Lighthouse accessibility score recorded</t>
        </is>
      </c>
      <c r="G67" s="14" t="inlineStr">
        <is>
          <t>Tool: Lighthouse + axe-core scan (Playwright) + keyboard tests</t>
        </is>
      </c>
      <c r="H67" s="14" t="inlineStr">
        <is>
          <t>docs/evidence/lighthouse/ (4 by hand) and lighthouse/all/ (33 + summary.md); docs/evidence/e2e/accessibility.json and accessibility_before_2026-10-22.md; 5-accessibility.spec.js (18 passed)</t>
        </is>
      </c>
      <c r="I67" s="14" t="inlineStr">
        <is>
          <t>Lighthouse accessibility 100 on 33 of 33 pages (Sign in was 93 before the fixes). axe-core, WCAG 2.2 AA + best practice: 0 problems on 33 pages and states (before: low contrast on 17 pages, unlabelled tick boxes and form fields, links shown by colour only, small buttons, missing landmarks). Job and applicant lists open with Tab + Enter. The all-pages run also found a crash on a malformed link (fixed, browser test added)</t>
        </is>
      </c>
      <c r="J67" s="14" t="inlineStr">
        <is>
          <t>Pass</t>
        </is>
      </c>
      <c r="K67" s="14" t="inlineStr">
        <is>
          <t>23 Oct 2026</t>
        </is>
      </c>
      <c r="L67" s="14" t="n"/>
    </row>
    <row r="68" ht="15" customHeight="1" s="12">
      <c r="A68" s="14" t="inlineStr">
        <is>
          <t>TC-67</t>
        </is>
      </c>
      <c r="B68" s="14" t="inlineStr">
        <is>
          <t>Non-functional</t>
        </is>
      </c>
      <c r="C68" s="14" t="inlineStr">
        <is>
          <t>-</t>
        </is>
      </c>
      <c r="D68" s="14" t="inlineStr">
        <is>
          <t>Runs the same in Docker</t>
        </is>
      </c>
      <c r="E68" s="14" t="inlineStr">
        <is>
          <t>Build the Docker images, run the tests inside</t>
        </is>
      </c>
      <c r="F68" s="14" t="inlineStr">
        <is>
          <t>Same results as on the laptop</t>
        </is>
      </c>
      <c r="G68" s="14" t="inlineStr">
        <is>
          <t>Tool (step 5)</t>
        </is>
      </c>
      <c r="H68" s="14" t="n"/>
      <c r="I68" s="14" t="n"/>
      <c r="J68" s="14" t="inlineStr">
        <is>
          <t>Not run</t>
        </is>
      </c>
      <c r="K68" s="14" t="n"/>
      <c r="L68" s="14" t="n"/>
    </row>
    <row r="69" ht="15" customHeight="1" s="12">
      <c r="A69" s="14" t="inlineStr">
        <is>
          <t>TC-68</t>
        </is>
      </c>
      <c r="B69" s="14" t="inlineStr">
        <is>
          <t>Non-functional</t>
        </is>
      </c>
      <c r="C69" s="14" t="inlineStr">
        <is>
          <t>-</t>
        </is>
      </c>
      <c r="D69" s="14" t="inlineStr">
        <is>
          <t>Works in other browsers</t>
        </is>
      </c>
      <c r="E69" s="14" t="inlineStr">
        <is>
          <t>Run the 18 browser tests in Chromium, Google Chrome, Microsoft Edge, Firefox and WebKit (Safari's engine): frontend/scripts/all_browsers.sh</t>
        </is>
      </c>
      <c r="F69" s="14" t="inlineStr">
        <is>
          <t>All tests pass in each browser; applying confirmed within 1 s (Google RAIL)</t>
        </is>
      </c>
      <c r="G69" s="14" t="inlineStr">
        <is>
          <t>Playwright E2E (5 browsers)</t>
        </is>
      </c>
      <c r="H69" s="14" t="inlineStr">
        <is>
          <t>docs/evidence/e2e/run_2026-10-23.txt and firefox/, webkit/, edge/, chrome/ (run logs, results, screenshots, accessibility scans)</t>
        </is>
      </c>
      <c r="I69" s="14" t="inlineStr">
        <is>
          <t>18 of 18 in every browser (23 Oct, after the stale-answer fixes). Click to "Applied": Chromium 239 ms, Firefox 485 ms, WebKit 581 ms, Edge 239 ms, Chrome 454 ms (limit 1 s). In WebKit the keyboard tests focus the link directly (WebKit, like Safari, leaves links out of Tab by default)</t>
        </is>
      </c>
      <c r="J69" s="14" t="inlineStr">
        <is>
          <t>Pass</t>
        </is>
      </c>
      <c r="K69" s="14" t="inlineStr">
        <is>
          <t>23 Oct 2026</t>
        </is>
      </c>
      <c r="L69" s="14" t="inlineStr">
        <is>
          <t>Not tested on real Safari (no Mac); WebKit is its engine. Phones and tablets out of scope (designed for laptops)</t>
        </is>
      </c>
    </row>
    <row r="70" ht="15" customHeight="1" s="12">
      <c r="A70" s="14" t="inlineStr">
        <is>
          <t>TC-69</t>
        </is>
      </c>
      <c r="B70" s="14" t="inlineStr">
        <is>
          <t>Install and reliability</t>
        </is>
      </c>
      <c r="C70" s="14" t="inlineStr">
        <is>
          <t>4</t>
        </is>
      </c>
      <c r="D70" s="14" t="inlineStr">
        <is>
          <t>MongoDB for real</t>
        </is>
      </c>
      <c r="E70" s="14" t="inlineStr">
        <is>
          <t>With MongoDB running: python -m pytest tests/test_mongodb_real.py (a separate skillmap_test database)</t>
        </is>
      </c>
      <c r="F70" s="14" t="inlineStr">
        <is>
          <t>Indexes incl. the 18-month expiry exist; a chat is saved, listed, reopened, continued and deleted; another student can't reach it; Download my data and Delete my account cover MongoDB; an evaluation run is saved and read back</t>
        </is>
      </c>
      <c r="G70" s="14" t="inlineStr">
        <is>
          <t>Automated (real MongoDB server)</t>
        </is>
      </c>
      <c r="H70" s="14" t="inlineStr">
        <is>
          <t>pytest 23 Oct (176 passed): docs/evidence/tests/pytest_2026-10-23.txt, tests/test_mongodb_real.py</t>
        </is>
      </c>
      <c r="I70" s="14" t="inlineStr">
        <is>
          <t>As expected: 4 of 4 against the real server</t>
        </is>
      </c>
      <c r="J70" s="14" t="inlineStr">
        <is>
          <t>Pass</t>
        </is>
      </c>
      <c r="K70" s="14" t="inlineStr">
        <is>
          <t>23 Oct 2026</t>
        </is>
      </c>
      <c r="L70" s="14" t="inlineStr">
        <is>
          <t>Skipped with a message when MongoDB is off; the other tests use stand-ins</t>
        </is>
      </c>
    </row>
  </sheetData>
  <autoFilter ref="A1:L68"/>
  <conditionalFormatting sqref="J2:J68">
    <cfRule type="cellIs" rank="0" priority="2" equalAverage="0" operator="equal" aboveAverage="0" dxfId="2" text="" percent="0" bottom="0">
      <formula>"Fail"</formula>
    </cfRule>
    <cfRule type="cellIs" rank="0" priority="3" equalAverage="0" operator="equal" aboveAverage="0" dxfId="3" text="" percent="0" bottom="0">
      <formula>"Pass"</formula>
    </cfRule>
  </conditionalFormatting>
  <dataValidations count="1">
    <dataValidation sqref="J2:J70" showDropDown="0" showInputMessage="0" showErrorMessage="0" allowBlank="0" type="list" errorStyle="stop" operator="between">
      <formula1>"Pass,Fail,Not run"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0" customWidth="1" style="11" min="2" max="5"/>
  </cols>
  <sheetData>
    <row r="1" ht="15.75" customHeight="1" s="12">
      <c r="A1" s="15" t="inlineStr">
        <is>
          <t>SkillMap system testing — summary</t>
        </is>
      </c>
    </row>
    <row r="2" ht="15" customHeight="1" s="12">
      <c r="A2" s="16" t="inlineStr">
        <is>
          <t>Counts update from the Status column of 'Test cases'.</t>
        </is>
      </c>
    </row>
    <row r="4" ht="15" customHeight="1" s="12">
      <c r="A4" s="17" t="inlineStr">
        <is>
          <t>Area</t>
        </is>
      </c>
      <c r="B4" s="17" t="inlineStr">
        <is>
          <t>Total</t>
        </is>
      </c>
      <c r="C4" s="17" t="inlineStr">
        <is>
          <t>Pass</t>
        </is>
      </c>
      <c r="D4" s="17" t="inlineStr">
        <is>
          <t>Fail</t>
        </is>
      </c>
      <c r="E4" s="17" t="inlineStr">
        <is>
          <t>Not run</t>
        </is>
      </c>
    </row>
    <row r="5" ht="15" customHeight="1" s="12">
      <c r="A5" s="18" t="inlineStr">
        <is>
          <t>Academic skills</t>
        </is>
      </c>
      <c r="B5" s="18">
        <f>COUNTIF('Test cases'!$B$2:$B$70,A5)</f>
        <v/>
      </c>
      <c r="C5" s="18">
        <f>COUNTIFS('Test cases'!$B$2:$B$70,$A5,'Test cases'!$J$2:$J$70,"Pass")</f>
        <v/>
      </c>
      <c r="D5" s="18">
        <f>COUNTIFS('Test cases'!$B$2:$B$70,$A5,'Test cases'!$J$2:$J$70,"Fail")</f>
        <v/>
      </c>
      <c r="E5" s="18">
        <f>COUNTIFS('Test cases'!$B$2:$B$70,$A5,'Test cases'!$J$2:$J$70,"Not run")</f>
        <v/>
      </c>
    </row>
    <row r="6" ht="15" customHeight="1" s="12">
      <c r="A6" s="18" t="inlineStr">
        <is>
          <t>Profile evidence</t>
        </is>
      </c>
      <c r="B6" s="18">
        <f>COUNTIF('Test cases'!$B$2:$B$70,A6)</f>
        <v/>
      </c>
      <c r="C6" s="18">
        <f>COUNTIFS('Test cases'!$B$2:$B$70,$A6,'Test cases'!$J$2:$J$70,"Pass")</f>
        <v/>
      </c>
      <c r="D6" s="18">
        <f>COUNTIFS('Test cases'!$B$2:$B$70,$A6,'Test cases'!$J$2:$J$70,"Fail")</f>
        <v/>
      </c>
      <c r="E6" s="18">
        <f>COUNTIFS('Test cases'!$B$2:$B$70,$A6,'Test cases'!$J$2:$J$70,"Not run")</f>
        <v/>
      </c>
    </row>
    <row r="7" ht="15" customHeight="1" s="12">
      <c r="A7" s="18" t="inlineStr">
        <is>
          <t>Job recommendation</t>
        </is>
      </c>
      <c r="B7" s="18">
        <f>COUNTIF('Test cases'!$B$2:$B$70,A7)</f>
        <v/>
      </c>
      <c r="C7" s="18">
        <f>COUNTIFS('Test cases'!$B$2:$B$70,$A7,'Test cases'!$J$2:$J$70,"Pass")</f>
        <v/>
      </c>
      <c r="D7" s="18">
        <f>COUNTIFS('Test cases'!$B$2:$B$70,$A7,'Test cases'!$J$2:$J$70,"Fail")</f>
        <v/>
      </c>
      <c r="E7" s="18">
        <f>COUNTIFS('Test cases'!$B$2:$B$70,$A7,'Test cases'!$J$2:$J$70,"Not run")</f>
        <v/>
      </c>
    </row>
    <row r="8" ht="15" customHeight="1" s="12">
      <c r="A8" s="18" t="inlineStr">
        <is>
          <t>Skill gap</t>
        </is>
      </c>
      <c r="B8" s="18">
        <f>COUNTIF('Test cases'!$B$2:$B$70,A8)</f>
        <v/>
      </c>
      <c r="C8" s="18">
        <f>COUNTIFS('Test cases'!$B$2:$B$70,$A8,'Test cases'!$J$2:$J$70,"Pass")</f>
        <v/>
      </c>
      <c r="D8" s="18">
        <f>COUNTIFS('Test cases'!$B$2:$B$70,$A8,'Test cases'!$J$2:$J$70,"Fail")</f>
        <v/>
      </c>
      <c r="E8" s="18">
        <f>COUNTIFS('Test cases'!$B$2:$B$70,$A8,'Test cases'!$J$2:$J$70,"Not run")</f>
        <v/>
      </c>
    </row>
    <row r="9" ht="15" customHeight="1" s="12">
      <c r="A9" s="18" t="inlineStr">
        <is>
          <t>AI assistant</t>
        </is>
      </c>
      <c r="B9" s="18">
        <f>COUNTIF('Test cases'!$B$2:$B$70,A9)</f>
        <v/>
      </c>
      <c r="C9" s="18">
        <f>COUNTIFS('Test cases'!$B$2:$B$70,$A9,'Test cases'!$J$2:$J$70,"Pass")</f>
        <v/>
      </c>
      <c r="D9" s="18">
        <f>COUNTIFS('Test cases'!$B$2:$B$70,$A9,'Test cases'!$J$2:$J$70,"Fail")</f>
        <v/>
      </c>
      <c r="E9" s="18">
        <f>COUNTIFS('Test cases'!$B$2:$B$70,$A9,'Test cases'!$J$2:$J$70,"Not run")</f>
        <v/>
      </c>
    </row>
    <row r="10" ht="15" customHeight="1" s="12">
      <c r="A10" s="18" t="inlineStr">
        <is>
          <t>Applications</t>
        </is>
      </c>
      <c r="B10" s="18">
        <f>COUNTIF('Test cases'!$B$2:$B$70,A10)</f>
        <v/>
      </c>
      <c r="C10" s="18">
        <f>COUNTIFS('Test cases'!$B$2:$B$70,$A10,'Test cases'!$J$2:$J$70,"Pass")</f>
        <v/>
      </c>
      <c r="D10" s="18">
        <f>COUNTIFS('Test cases'!$B$2:$B$70,$A10,'Test cases'!$J$2:$J$70,"Fail")</f>
        <v/>
      </c>
      <c r="E10" s="18">
        <f>COUNTIFS('Test cases'!$B$2:$B$70,$A10,'Test cases'!$J$2:$J$70,"Not run")</f>
        <v/>
      </c>
    </row>
    <row r="11" ht="15" customHeight="1" s="12">
      <c r="A11" s="18" t="inlineStr">
        <is>
          <t>Employer</t>
        </is>
      </c>
      <c r="B11" s="18">
        <f>COUNTIF('Test cases'!$B$2:$B$70,A11)</f>
        <v/>
      </c>
      <c r="C11" s="18">
        <f>COUNTIFS('Test cases'!$B$2:$B$70,$A11,'Test cases'!$J$2:$J$70,"Pass")</f>
        <v/>
      </c>
      <c r="D11" s="18">
        <f>COUNTIFS('Test cases'!$B$2:$B$70,$A11,'Test cases'!$J$2:$J$70,"Fail")</f>
        <v/>
      </c>
      <c r="E11" s="18">
        <f>COUNTIFS('Test cases'!$B$2:$B$70,$A11,'Test cases'!$J$2:$J$70,"Not run")</f>
        <v/>
      </c>
    </row>
    <row r="12" ht="15" customHeight="1" s="12">
      <c r="A12" s="18" t="inlineStr">
        <is>
          <t>Admin</t>
        </is>
      </c>
      <c r="B12" s="18">
        <f>COUNTIF('Test cases'!$B$2:$B$70,A12)</f>
        <v/>
      </c>
      <c r="C12" s="18">
        <f>COUNTIFS('Test cases'!$B$2:$B$70,$A12,'Test cases'!$J$2:$J$70,"Pass")</f>
        <v/>
      </c>
      <c r="D12" s="18">
        <f>COUNTIFS('Test cases'!$B$2:$B$70,$A12,'Test cases'!$J$2:$J$70,"Fail")</f>
        <v/>
      </c>
      <c r="E12" s="18">
        <f>COUNTIFS('Test cases'!$B$2:$B$70,$A12,'Test cases'!$J$2:$J$70,"Not run")</f>
        <v/>
      </c>
    </row>
    <row r="13" ht="15" customHeight="1" s="12">
      <c r="A13" s="18" t="inlineStr">
        <is>
          <t>Accounts</t>
        </is>
      </c>
      <c r="B13" s="18">
        <f>COUNTIF('Test cases'!$B$2:$B$70,A13)</f>
        <v/>
      </c>
      <c r="C13" s="18">
        <f>COUNTIFS('Test cases'!$B$2:$B$70,$A13,'Test cases'!$J$2:$J$70,"Pass")</f>
        <v/>
      </c>
      <c r="D13" s="18">
        <f>COUNTIFS('Test cases'!$B$2:$B$70,$A13,'Test cases'!$J$2:$J$70,"Fail")</f>
        <v/>
      </c>
      <c r="E13" s="18">
        <f>COUNTIFS('Test cases'!$B$2:$B$70,$A13,'Test cases'!$J$2:$J$70,"Not run")</f>
        <v/>
      </c>
    </row>
    <row r="14" ht="15" customHeight="1" s="12">
      <c r="A14" s="18" t="inlineStr">
        <is>
          <t>Privacy</t>
        </is>
      </c>
      <c r="B14" s="18">
        <f>COUNTIF('Test cases'!$B$2:$B$70,A14)</f>
        <v/>
      </c>
      <c r="C14" s="18">
        <f>COUNTIFS('Test cases'!$B$2:$B$70,$A14,'Test cases'!$J$2:$J$70,"Pass")</f>
        <v/>
      </c>
      <c r="D14" s="18">
        <f>COUNTIFS('Test cases'!$B$2:$B$70,$A14,'Test cases'!$J$2:$J$70,"Fail")</f>
        <v/>
      </c>
      <c r="E14" s="18">
        <f>COUNTIFS('Test cases'!$B$2:$B$70,$A14,'Test cases'!$J$2:$J$70,"Not run")</f>
        <v/>
      </c>
    </row>
    <row r="15" ht="15" customHeight="1" s="12">
      <c r="A15" s="18" t="inlineStr">
        <is>
          <t>Install and reliability</t>
        </is>
      </c>
      <c r="B15" s="18">
        <f>COUNTIF('Test cases'!$B$2:$B$70,A15)</f>
        <v/>
      </c>
      <c r="C15" s="18">
        <f>COUNTIFS('Test cases'!$B$2:$B$70,$A15,'Test cases'!$J$2:$J$70,"Pass")</f>
        <v/>
      </c>
      <c r="D15" s="18">
        <f>COUNTIFS('Test cases'!$B$2:$B$70,$A15,'Test cases'!$J$2:$J$70,"Fail")</f>
        <v/>
      </c>
      <c r="E15" s="18">
        <f>COUNTIFS('Test cases'!$B$2:$B$70,$A15,'Test cases'!$J$2:$J$70,"Not run")</f>
        <v/>
      </c>
    </row>
    <row r="16" ht="15" customHeight="1" s="12">
      <c r="A16" s="18" t="inlineStr">
        <is>
          <t>Non-functional</t>
        </is>
      </c>
      <c r="B16" s="18">
        <f>COUNTIF('Test cases'!$B$2:$B$70,A16)</f>
        <v/>
      </c>
      <c r="C16" s="18">
        <f>COUNTIFS('Test cases'!$B$2:$B$70,$A16,'Test cases'!$J$2:$J$70,"Pass")</f>
        <v/>
      </c>
      <c r="D16" s="18">
        <f>COUNTIFS('Test cases'!$B$2:$B$70,$A16,'Test cases'!$J$2:$J$70,"Fail")</f>
        <v/>
      </c>
      <c r="E16" s="18">
        <f>COUNTIFS('Test cases'!$B$2:$B$70,$A16,'Test cases'!$J$2:$J$70,"Not run")</f>
        <v/>
      </c>
    </row>
    <row r="17" ht="15" customHeight="1" s="12">
      <c r="A17" s="19" t="inlineStr">
        <is>
          <t>Total</t>
        </is>
      </c>
      <c r="B17" s="19">
        <f>SUM(B5:B16)</f>
        <v/>
      </c>
      <c r="C17" s="19">
        <f>SUM(C5:C16)</f>
        <v/>
      </c>
      <c r="D17" s="19">
        <f>SUM(D5:D16)</f>
        <v/>
      </c>
      <c r="E17" s="19">
        <f>SUM(E5:E16)</f>
        <v/>
      </c>
    </row>
    <row r="18" ht="15" customHeight="1" s="12">
      <c r="A18" s="18" t="n"/>
      <c r="B18" s="18" t="n"/>
      <c r="C18" s="18" t="n"/>
      <c r="D18" s="18" t="n"/>
      <c r="E18" s="18" t="n"/>
    </row>
    <row r="19" ht="15" customHeight="1" s="12">
      <c r="A19" s="19" t="inlineStr">
        <is>
          <t>By IR objective</t>
        </is>
      </c>
      <c r="B19" s="18" t="n"/>
      <c r="C19" s="18" t="n"/>
      <c r="D19" s="18" t="n"/>
      <c r="E19" s="18" t="n"/>
    </row>
    <row r="20" ht="15" customHeight="1" s="12">
      <c r="A20" s="18" t="inlineStr">
        <is>
          <t>1. Academic skill extraction</t>
        </is>
      </c>
      <c r="B20" s="18">
        <f>COUNTIF('Test cases'!$C$2:$C$70,"1")</f>
        <v/>
      </c>
      <c r="C20" s="18">
        <f>COUNTIFS('Test cases'!$C$2:$C$70,"1",'Test cases'!$J$2:$J$70,"Pass")</f>
        <v/>
      </c>
      <c r="D20" s="18" t="n"/>
      <c r="E20" s="18" t="n"/>
    </row>
    <row r="21" ht="15" customHeight="1" s="12">
      <c r="A21" s="18" t="inlineStr">
        <is>
          <t>2. Job recommendation</t>
        </is>
      </c>
      <c r="B21" s="18">
        <f>COUNTIF('Test cases'!$C$2:$C$70,"2")</f>
        <v/>
      </c>
      <c r="C21" s="18">
        <f>COUNTIFS('Test cases'!$C$2:$C$70,"2",'Test cases'!$J$2:$J$70,"Pass")</f>
        <v/>
      </c>
      <c r="D21" s="18" t="n"/>
      <c r="E21" s="18" t="n"/>
    </row>
    <row r="22" ht="15" customHeight="1" s="12">
      <c r="A22" s="18" t="inlineStr">
        <is>
          <t>3. Explainable skill gap</t>
        </is>
      </c>
      <c r="B22" s="18">
        <f>COUNTIF('Test cases'!$C$2:$C$70,"3")</f>
        <v/>
      </c>
      <c r="C22" s="18">
        <f>COUNTIFS('Test cases'!$C$2:$C$70,"3",'Test cases'!$J$2:$J$70,"Pass")</f>
        <v/>
      </c>
      <c r="D22" s="18" t="n"/>
      <c r="E22" s="18" t="n"/>
    </row>
    <row r="23" ht="15" customHeight="1" s="12">
      <c r="A23" s="18" t="inlineStr">
        <is>
          <t>4. AI chatbot</t>
        </is>
      </c>
      <c r="B23" s="18">
        <f>COUNTIF('Test cases'!$C$2:$C$70,"4")</f>
        <v/>
      </c>
      <c r="C23" s="18">
        <f>COUNTIFS('Test cases'!$C$2:$C$70,"4",'Test cases'!$J$2:$J$70,"Pass")</f>
        <v/>
      </c>
      <c r="D23" s="18" t="n"/>
      <c r="E23" s="18" t="n"/>
    </row>
    <row r="24" ht="15" customHeight="1" s="12">
      <c r="A24" s="18" t="n"/>
      <c r="B24" s="18" t="n"/>
      <c r="C24" s="18" t="n"/>
      <c r="D24" s="18" t="n"/>
      <c r="E24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1" min="1" max="1"/>
  </cols>
  <sheetData>
    <row r="1" ht="15" customHeight="1" s="12">
      <c r="A1" s="20" t="inlineStr">
        <is>
          <t>How to use this sheet</t>
        </is>
      </c>
    </row>
    <row r="2" ht="15" customHeight="1" s="12">
      <c r="A2" s="21" t="inlineStr">
        <is>
          <t>Each row is one system test: what you do (Steps) and what should happen (Expected result).</t>
        </is>
      </c>
    </row>
    <row r="3" ht="15" customHeight="1" s="12">
      <c r="A3" s="21" t="inlineStr">
        <is>
          <t>Fill in only these columns as you test: Actual result, Status (Pass / Fail / Not run, from the list), Date tested, Notes.</t>
        </is>
      </c>
    </row>
    <row r="4" ht="23.25" customHeight="1" s="12">
      <c r="A4" s="21" t="inlineStr">
        <is>
          <t>Automated rows were run on 21 Oct 2026 on Windows: 137 passed (docs/evidence/tests/pytest_2026-10-21b.txt). Re-run pytest after any change and update the date.</t>
        </is>
      </c>
    </row>
    <row r="5" ht="15" customHeight="1" s="12">
      <c r="A5" s="21" t="inlineStr">
        <is>
          <t>Evaluation rows come from the evaluation runs (docs/evidence/ and MongoDB evaluation_runs).</t>
        </is>
      </c>
    </row>
    <row r="6" ht="15" customHeight="1" s="12">
      <c r="A6" s="21" t="inlineStr">
        <is>
          <t>'Playwright E2E (step 2)' rows will be run by the browser scripts; 'Manual' rows by hand; 'Tool' rows in steps 3-5.</t>
        </is>
      </c>
    </row>
    <row r="7" ht="15" customHeight="1" s="12">
      <c r="A7" s="21" t="inlineStr">
        <is>
          <t>If a test fails: set Status to Fail, write what happened in Actual result, and note the fix or bug in Notes.</t>
        </is>
      </c>
    </row>
    <row r="8" ht="15" customHeight="1" s="12">
      <c r="A8" s="21" t="inlineStr">
        <is>
          <t>Example of a filled row: TC-01 · Actual: 'Python shown with Module: Python Programming (A)' · Status: Pass · Date: 23 Oct 2026.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2026-10-22T04:16:37Z</dcterms:created>
  <dcterms:modified xmlns:dcterms="http://purl.org/dc/terms/" xmlns:xsi="http://www.w3.org/2001/XMLSchema-instance" xsi:type="dcterms:W3CDTF">2026-10-24T05:00:35Z</dcterms:modified>
  <cp:revision>0</cp:revision>
</cp:coreProperties>
</file>